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xampp\htdocs\tgs-ketoan\docs\kiem-thu\"/>
    </mc:Choice>
  </mc:AlternateContent>
  <xr:revisionPtr revIDLastSave="0" documentId="13_ncr:1_{401A37C1-B9A0-4253-88EF-7D414A867F35}" xr6:coauthVersionLast="47" xr6:coauthVersionMax="47" xr10:uidLastSave="{00000000-0000-0000-0000-000000000000}"/>
  <bookViews>
    <workbookView xWindow="3660" yWindow="3660" windowWidth="7632" windowHeight="7404" xr2:uid="{00000000-000D-0000-FFFF-FFFF00000000}"/>
  </bookViews>
  <sheets>
    <sheet name="Hướng dẫn" sheetId="1" r:id="rId1"/>
    <sheet name="Danh sách test" sheetId="2" r:id="rId2"/>
    <sheet name="25 tình huống" sheetId="3" r:id="rId3"/>
    <sheet name="Tiến độ" sheetId="4" r:id="rId4"/>
    <sheet name="Chờ đợi" sheetId="5" r:id="rId5"/>
  </sheets>
  <definedNames>
    <definedName name="_xlnm._FilterDatabase" localSheetId="1" hidden="1">'Danh sách test'!$A$4:$Q$127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4" l="1"/>
  <c r="C29" i="4" s="1"/>
  <c r="C24" i="4"/>
  <c r="C25" i="4" s="1"/>
  <c r="H14" i="4"/>
  <c r="G14" i="4"/>
  <c r="F14" i="4"/>
  <c r="E14" i="4"/>
  <c r="D14" i="4"/>
  <c r="C14" i="4"/>
  <c r="J14" i="4" s="1"/>
  <c r="B14" i="4"/>
  <c r="I14" i="4" s="1"/>
  <c r="I13" i="4"/>
  <c r="H13" i="4"/>
  <c r="G13" i="4"/>
  <c r="F13" i="4"/>
  <c r="E13" i="4"/>
  <c r="D13" i="4"/>
  <c r="C13" i="4"/>
  <c r="J13" i="4" s="1"/>
  <c r="B13" i="4"/>
  <c r="H12" i="4"/>
  <c r="G12" i="4"/>
  <c r="F12" i="4"/>
  <c r="E12" i="4"/>
  <c r="D12" i="4"/>
  <c r="C12" i="4"/>
  <c r="J12" i="4" s="1"/>
  <c r="B12" i="4"/>
  <c r="H11" i="4"/>
  <c r="G11" i="4"/>
  <c r="F11" i="4"/>
  <c r="E11" i="4"/>
  <c r="D11" i="4"/>
  <c r="C11" i="4"/>
  <c r="J11" i="4" s="1"/>
  <c r="B11" i="4"/>
  <c r="J10" i="4"/>
  <c r="H10" i="4"/>
  <c r="G10" i="4"/>
  <c r="F10" i="4"/>
  <c r="E10" i="4"/>
  <c r="D10" i="4"/>
  <c r="C10" i="4"/>
  <c r="B10" i="4"/>
  <c r="I10" i="4" s="1"/>
  <c r="H9" i="4"/>
  <c r="G9" i="4"/>
  <c r="F9" i="4"/>
  <c r="E9" i="4"/>
  <c r="D9" i="4"/>
  <c r="C9" i="4"/>
  <c r="J9" i="4" s="1"/>
  <c r="B9" i="4"/>
  <c r="I9" i="4" s="1"/>
  <c r="H8" i="4"/>
  <c r="G8" i="4"/>
  <c r="F8" i="4"/>
  <c r="E8" i="4"/>
  <c r="D8" i="4"/>
  <c r="C8" i="4"/>
  <c r="J8" i="4" s="1"/>
  <c r="B8" i="4"/>
  <c r="I8" i="4" s="1"/>
  <c r="H7" i="4"/>
  <c r="G7" i="4"/>
  <c r="F7" i="4"/>
  <c r="E7" i="4"/>
  <c r="D7" i="4"/>
  <c r="C7" i="4"/>
  <c r="J7" i="4" s="1"/>
  <c r="B7" i="4"/>
  <c r="H6" i="4"/>
  <c r="G6" i="4"/>
  <c r="F6" i="4"/>
  <c r="E6" i="4"/>
  <c r="D6" i="4"/>
  <c r="C6" i="4"/>
  <c r="J6" i="4" s="1"/>
  <c r="B6" i="4"/>
  <c r="I6" i="4" s="1"/>
  <c r="I5" i="4"/>
  <c r="H5" i="4"/>
  <c r="G5" i="4"/>
  <c r="F5" i="4"/>
  <c r="E5" i="4"/>
  <c r="D5" i="4"/>
  <c r="C5" i="4"/>
  <c r="J5" i="4" s="1"/>
  <c r="B5" i="4"/>
  <c r="H37" i="3"/>
  <c r="G37" i="3"/>
  <c r="F37" i="3"/>
  <c r="E37" i="3"/>
  <c r="H36" i="3"/>
  <c r="G36" i="3"/>
  <c r="F36" i="3"/>
  <c r="E36" i="3"/>
  <c r="H35" i="3"/>
  <c r="G35" i="3"/>
  <c r="F35" i="3"/>
  <c r="E35" i="3"/>
  <c r="I35" i="3" s="1"/>
  <c r="H34" i="3"/>
  <c r="G34" i="3"/>
  <c r="F34" i="3"/>
  <c r="E34" i="3"/>
  <c r="I34" i="3" s="1"/>
  <c r="H33" i="3"/>
  <c r="G33" i="3"/>
  <c r="F33" i="3"/>
  <c r="E33" i="3"/>
  <c r="I33" i="3" s="1"/>
  <c r="H32" i="3"/>
  <c r="G32" i="3"/>
  <c r="F32" i="3"/>
  <c r="I32" i="3" s="1"/>
  <c r="E32" i="3"/>
  <c r="H31" i="3"/>
  <c r="G31" i="3"/>
  <c r="F31" i="3"/>
  <c r="E31" i="3"/>
  <c r="H30" i="3"/>
  <c r="G30" i="3"/>
  <c r="F30" i="3"/>
  <c r="E30" i="3"/>
  <c r="I30" i="3" s="1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I24" i="3" s="1"/>
  <c r="H23" i="3"/>
  <c r="G23" i="3"/>
  <c r="F23" i="3"/>
  <c r="E23" i="3"/>
  <c r="H22" i="3"/>
  <c r="G22" i="3"/>
  <c r="I22" i="3" s="1"/>
  <c r="F22" i="3"/>
  <c r="E22" i="3"/>
  <c r="H21" i="3"/>
  <c r="G21" i="3"/>
  <c r="F21" i="3"/>
  <c r="E21" i="3"/>
  <c r="I21" i="3" s="1"/>
  <c r="H20" i="3"/>
  <c r="G20" i="3"/>
  <c r="F20" i="3"/>
  <c r="E20" i="3"/>
  <c r="H19" i="3"/>
  <c r="G19" i="3"/>
  <c r="F19" i="3"/>
  <c r="E19" i="3"/>
  <c r="H18" i="3"/>
  <c r="G18" i="3"/>
  <c r="F18" i="3"/>
  <c r="E18" i="3"/>
  <c r="I18" i="3" s="1"/>
  <c r="H17" i="3"/>
  <c r="G17" i="3"/>
  <c r="F17" i="3"/>
  <c r="E17" i="3"/>
  <c r="I17" i="3" s="1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I12" i="3" s="1"/>
  <c r="H11" i="3"/>
  <c r="G11" i="3"/>
  <c r="F11" i="3"/>
  <c r="E11" i="3"/>
  <c r="I11" i="3" s="1"/>
  <c r="I10" i="3"/>
  <c r="H10" i="3"/>
  <c r="G10" i="3"/>
  <c r="F10" i="3"/>
  <c r="E10" i="3"/>
  <c r="H9" i="3"/>
  <c r="G9" i="3"/>
  <c r="F9" i="3"/>
  <c r="I9" i="3" s="1"/>
  <c r="E9" i="3"/>
  <c r="H8" i="3"/>
  <c r="G8" i="3"/>
  <c r="F8" i="3"/>
  <c r="I8" i="3" s="1"/>
  <c r="E8" i="3"/>
  <c r="H7" i="3"/>
  <c r="G7" i="3"/>
  <c r="F7" i="3"/>
  <c r="E7" i="3"/>
  <c r="H6" i="3"/>
  <c r="G6" i="3"/>
  <c r="F6" i="3"/>
  <c r="E6" i="3"/>
  <c r="H5" i="3"/>
  <c r="G5" i="3"/>
  <c r="F5" i="3"/>
  <c r="E5" i="3"/>
  <c r="I129" i="2"/>
  <c r="S127" i="2"/>
  <c r="L127" i="2"/>
  <c r="M127" i="2" s="1"/>
  <c r="S126" i="2"/>
  <c r="L126" i="2"/>
  <c r="M126" i="2" s="1"/>
  <c r="S125" i="2"/>
  <c r="L125" i="2"/>
  <c r="M125" i="2" s="1"/>
  <c r="S124" i="2"/>
  <c r="L124" i="2"/>
  <c r="M124" i="2" s="1"/>
  <c r="S123" i="2"/>
  <c r="L123" i="2"/>
  <c r="M123" i="2" s="1"/>
  <c r="S122" i="2"/>
  <c r="L122" i="2"/>
  <c r="M122" i="2" s="1"/>
  <c r="S121" i="2"/>
  <c r="L121" i="2"/>
  <c r="M121" i="2" s="1"/>
  <c r="S120" i="2"/>
  <c r="L120" i="2"/>
  <c r="M120" i="2" s="1"/>
  <c r="S119" i="2"/>
  <c r="L119" i="2"/>
  <c r="M119" i="2" s="1"/>
  <c r="S118" i="2"/>
  <c r="L118" i="2"/>
  <c r="M118" i="2" s="1"/>
  <c r="S117" i="2"/>
  <c r="L117" i="2"/>
  <c r="M117" i="2" s="1"/>
  <c r="S116" i="2"/>
  <c r="L116" i="2"/>
  <c r="M116" i="2" s="1"/>
  <c r="S115" i="2"/>
  <c r="L115" i="2"/>
  <c r="M115" i="2" s="1"/>
  <c r="S114" i="2"/>
  <c r="L114" i="2"/>
  <c r="M114" i="2" s="1"/>
  <c r="S113" i="2"/>
  <c r="L113" i="2"/>
  <c r="M113" i="2" s="1"/>
  <c r="S112" i="2"/>
  <c r="M112" i="2"/>
  <c r="L112" i="2"/>
  <c r="S111" i="2"/>
  <c r="L111" i="2"/>
  <c r="M111" i="2" s="1"/>
  <c r="S110" i="2"/>
  <c r="L110" i="2"/>
  <c r="M110" i="2" s="1"/>
  <c r="S109" i="2"/>
  <c r="L109" i="2"/>
  <c r="M109" i="2" s="1"/>
  <c r="S108" i="2"/>
  <c r="L108" i="2"/>
  <c r="M108" i="2" s="1"/>
  <c r="S107" i="2"/>
  <c r="L107" i="2"/>
  <c r="M107" i="2" s="1"/>
  <c r="S106" i="2"/>
  <c r="L106" i="2"/>
  <c r="M106" i="2" s="1"/>
  <c r="S105" i="2"/>
  <c r="L105" i="2"/>
  <c r="M105" i="2" s="1"/>
  <c r="S104" i="2"/>
  <c r="L104" i="2"/>
  <c r="M104" i="2" s="1"/>
  <c r="S103" i="2"/>
  <c r="L103" i="2"/>
  <c r="M103" i="2" s="1"/>
  <c r="S102" i="2"/>
  <c r="L102" i="2"/>
  <c r="M102" i="2" s="1"/>
  <c r="S101" i="2"/>
  <c r="L101" i="2"/>
  <c r="M101" i="2" s="1"/>
  <c r="S100" i="2"/>
  <c r="L100" i="2"/>
  <c r="M100" i="2" s="1"/>
  <c r="S99" i="2"/>
  <c r="L99" i="2"/>
  <c r="M99" i="2" s="1"/>
  <c r="S98" i="2"/>
  <c r="L98" i="2"/>
  <c r="M98" i="2" s="1"/>
  <c r="S97" i="2"/>
  <c r="L97" i="2"/>
  <c r="M97" i="2" s="1"/>
  <c r="S96" i="2"/>
  <c r="L96" i="2"/>
  <c r="M96" i="2" s="1"/>
  <c r="S95" i="2"/>
  <c r="L95" i="2"/>
  <c r="M95" i="2" s="1"/>
  <c r="S94" i="2"/>
  <c r="L94" i="2"/>
  <c r="M94" i="2" s="1"/>
  <c r="S93" i="2"/>
  <c r="L93" i="2"/>
  <c r="M93" i="2" s="1"/>
  <c r="S92" i="2"/>
  <c r="L92" i="2"/>
  <c r="M92" i="2" s="1"/>
  <c r="S91" i="2"/>
  <c r="L91" i="2"/>
  <c r="M91" i="2" s="1"/>
  <c r="S90" i="2"/>
  <c r="L90" i="2"/>
  <c r="M90" i="2" s="1"/>
  <c r="S89" i="2"/>
  <c r="L89" i="2"/>
  <c r="M89" i="2" s="1"/>
  <c r="S88" i="2"/>
  <c r="L88" i="2"/>
  <c r="M88" i="2" s="1"/>
  <c r="S87" i="2"/>
  <c r="L87" i="2"/>
  <c r="M87" i="2" s="1"/>
  <c r="S86" i="2"/>
  <c r="L86" i="2"/>
  <c r="M86" i="2" s="1"/>
  <c r="S85" i="2"/>
  <c r="L85" i="2"/>
  <c r="M85" i="2" s="1"/>
  <c r="S84" i="2"/>
  <c r="L84" i="2"/>
  <c r="M84" i="2" s="1"/>
  <c r="S83" i="2"/>
  <c r="L83" i="2"/>
  <c r="M83" i="2" s="1"/>
  <c r="S82" i="2"/>
  <c r="L82" i="2"/>
  <c r="M82" i="2" s="1"/>
  <c r="S81" i="2"/>
  <c r="L81" i="2"/>
  <c r="M81" i="2" s="1"/>
  <c r="S80" i="2"/>
  <c r="L80" i="2"/>
  <c r="M80" i="2" s="1"/>
  <c r="S79" i="2"/>
  <c r="L79" i="2"/>
  <c r="M79" i="2" s="1"/>
  <c r="S78" i="2"/>
  <c r="L78" i="2"/>
  <c r="M78" i="2" s="1"/>
  <c r="S77" i="2"/>
  <c r="L77" i="2"/>
  <c r="M77" i="2" s="1"/>
  <c r="S76" i="2"/>
  <c r="L76" i="2"/>
  <c r="M76" i="2" s="1"/>
  <c r="S75" i="2"/>
  <c r="L75" i="2"/>
  <c r="M75" i="2" s="1"/>
  <c r="S74" i="2"/>
  <c r="L74" i="2"/>
  <c r="M74" i="2" s="1"/>
  <c r="S73" i="2"/>
  <c r="L73" i="2"/>
  <c r="M73" i="2" s="1"/>
  <c r="S72" i="2"/>
  <c r="L72" i="2"/>
  <c r="M72" i="2" s="1"/>
  <c r="S71" i="2"/>
  <c r="L71" i="2"/>
  <c r="M71" i="2" s="1"/>
  <c r="S70" i="2"/>
  <c r="L70" i="2"/>
  <c r="M70" i="2" s="1"/>
  <c r="S69" i="2"/>
  <c r="L69" i="2"/>
  <c r="M69" i="2" s="1"/>
  <c r="S68" i="2"/>
  <c r="L68" i="2"/>
  <c r="M68" i="2" s="1"/>
  <c r="S67" i="2"/>
  <c r="L67" i="2"/>
  <c r="M67" i="2" s="1"/>
  <c r="S66" i="2"/>
  <c r="L66" i="2"/>
  <c r="M66" i="2" s="1"/>
  <c r="S65" i="2"/>
  <c r="L65" i="2"/>
  <c r="M65" i="2" s="1"/>
  <c r="S64" i="2"/>
  <c r="L64" i="2"/>
  <c r="M64" i="2" s="1"/>
  <c r="S63" i="2"/>
  <c r="L63" i="2"/>
  <c r="M63" i="2" s="1"/>
  <c r="S62" i="2"/>
  <c r="L62" i="2"/>
  <c r="M62" i="2" s="1"/>
  <c r="S61" i="2"/>
  <c r="L61" i="2"/>
  <c r="M61" i="2" s="1"/>
  <c r="S60" i="2"/>
  <c r="L60" i="2"/>
  <c r="M60" i="2" s="1"/>
  <c r="S59" i="2"/>
  <c r="L59" i="2"/>
  <c r="M59" i="2" s="1"/>
  <c r="S58" i="2"/>
  <c r="L58" i="2"/>
  <c r="M58" i="2" s="1"/>
  <c r="S57" i="2"/>
  <c r="L57" i="2"/>
  <c r="M57" i="2" s="1"/>
  <c r="S56" i="2"/>
  <c r="L56" i="2"/>
  <c r="M56" i="2" s="1"/>
  <c r="S55" i="2"/>
  <c r="L55" i="2"/>
  <c r="M55" i="2" s="1"/>
  <c r="S54" i="2"/>
  <c r="L54" i="2"/>
  <c r="M54" i="2" s="1"/>
  <c r="S53" i="2"/>
  <c r="L53" i="2"/>
  <c r="M53" i="2" s="1"/>
  <c r="S52" i="2"/>
  <c r="L52" i="2"/>
  <c r="M52" i="2" s="1"/>
  <c r="S51" i="2"/>
  <c r="L51" i="2"/>
  <c r="M51" i="2" s="1"/>
  <c r="S50" i="2"/>
  <c r="L50" i="2"/>
  <c r="M50" i="2" s="1"/>
  <c r="S49" i="2"/>
  <c r="L49" i="2"/>
  <c r="M49" i="2" s="1"/>
  <c r="S48" i="2"/>
  <c r="L48" i="2"/>
  <c r="M48" i="2" s="1"/>
  <c r="S47" i="2"/>
  <c r="L47" i="2"/>
  <c r="M47" i="2" s="1"/>
  <c r="S46" i="2"/>
  <c r="L46" i="2"/>
  <c r="M46" i="2" s="1"/>
  <c r="S45" i="2"/>
  <c r="L45" i="2"/>
  <c r="M45" i="2" s="1"/>
  <c r="S44" i="2"/>
  <c r="L44" i="2"/>
  <c r="M44" i="2" s="1"/>
  <c r="S43" i="2"/>
  <c r="L43" i="2"/>
  <c r="M43" i="2" s="1"/>
  <c r="S42" i="2"/>
  <c r="L42" i="2"/>
  <c r="M42" i="2" s="1"/>
  <c r="S41" i="2"/>
  <c r="L41" i="2"/>
  <c r="M41" i="2" s="1"/>
  <c r="S40" i="2"/>
  <c r="L40" i="2"/>
  <c r="M40" i="2" s="1"/>
  <c r="S39" i="2"/>
  <c r="L39" i="2"/>
  <c r="M39" i="2" s="1"/>
  <c r="S38" i="2"/>
  <c r="L38" i="2"/>
  <c r="M38" i="2" s="1"/>
  <c r="S37" i="2"/>
  <c r="L37" i="2"/>
  <c r="M37" i="2" s="1"/>
  <c r="S36" i="2"/>
  <c r="L36" i="2"/>
  <c r="M36" i="2" s="1"/>
  <c r="S35" i="2"/>
  <c r="L35" i="2"/>
  <c r="M35" i="2" s="1"/>
  <c r="S34" i="2"/>
  <c r="L34" i="2"/>
  <c r="M34" i="2" s="1"/>
  <c r="S33" i="2"/>
  <c r="L33" i="2"/>
  <c r="M33" i="2" s="1"/>
  <c r="S32" i="2"/>
  <c r="L32" i="2"/>
  <c r="M32" i="2" s="1"/>
  <c r="S31" i="2"/>
  <c r="L31" i="2"/>
  <c r="M31" i="2" s="1"/>
  <c r="S30" i="2"/>
  <c r="L30" i="2"/>
  <c r="M30" i="2" s="1"/>
  <c r="S29" i="2"/>
  <c r="L29" i="2"/>
  <c r="M29" i="2" s="1"/>
  <c r="S28" i="2"/>
  <c r="L28" i="2"/>
  <c r="M28" i="2" s="1"/>
  <c r="S27" i="2"/>
  <c r="L27" i="2"/>
  <c r="M27" i="2" s="1"/>
  <c r="S26" i="2"/>
  <c r="L26" i="2"/>
  <c r="M26" i="2" s="1"/>
  <c r="S25" i="2"/>
  <c r="L25" i="2"/>
  <c r="M25" i="2" s="1"/>
  <c r="S24" i="2"/>
  <c r="L24" i="2"/>
  <c r="M24" i="2" s="1"/>
  <c r="S23" i="2"/>
  <c r="L23" i="2"/>
  <c r="M23" i="2" s="1"/>
  <c r="S22" i="2"/>
  <c r="L22" i="2"/>
  <c r="M22" i="2" s="1"/>
  <c r="S21" i="2"/>
  <c r="L21" i="2"/>
  <c r="M21" i="2" s="1"/>
  <c r="S20" i="2"/>
  <c r="L20" i="2"/>
  <c r="M20" i="2" s="1"/>
  <c r="S19" i="2"/>
  <c r="L19" i="2"/>
  <c r="M19" i="2" s="1"/>
  <c r="S18" i="2"/>
  <c r="L18" i="2"/>
  <c r="M18" i="2" s="1"/>
  <c r="S17" i="2"/>
  <c r="L17" i="2"/>
  <c r="M17" i="2" s="1"/>
  <c r="S16" i="2"/>
  <c r="L16" i="2"/>
  <c r="M16" i="2" s="1"/>
  <c r="S15" i="2"/>
  <c r="L15" i="2"/>
  <c r="M15" i="2" s="1"/>
  <c r="S14" i="2"/>
  <c r="L14" i="2"/>
  <c r="M14" i="2" s="1"/>
  <c r="S13" i="2"/>
  <c r="L13" i="2"/>
  <c r="M13" i="2" s="1"/>
  <c r="S12" i="2"/>
  <c r="L12" i="2"/>
  <c r="M12" i="2" s="1"/>
  <c r="S11" i="2"/>
  <c r="L11" i="2"/>
  <c r="M11" i="2" s="1"/>
  <c r="S10" i="2"/>
  <c r="L10" i="2"/>
  <c r="M10" i="2" s="1"/>
  <c r="S9" i="2"/>
  <c r="L9" i="2"/>
  <c r="M9" i="2" s="1"/>
  <c r="S8" i="2"/>
  <c r="L8" i="2"/>
  <c r="M8" i="2" s="1"/>
  <c r="S7" i="2"/>
  <c r="L7" i="2"/>
  <c r="M7" i="2" s="1"/>
  <c r="S6" i="2"/>
  <c r="L6" i="2"/>
  <c r="M6" i="2" s="1"/>
  <c r="S5" i="2"/>
  <c r="L5" i="2"/>
  <c r="M5" i="2" s="1"/>
  <c r="I31" i="3" l="1"/>
  <c r="I37" i="3"/>
  <c r="I20" i="3"/>
  <c r="I6" i="3"/>
  <c r="I23" i="3"/>
  <c r="I29" i="3"/>
  <c r="I11" i="4"/>
  <c r="I26" i="3"/>
  <c r="D15" i="4"/>
  <c r="I15" i="3"/>
  <c r="E15" i="4"/>
  <c r="C20" i="4" s="1"/>
  <c r="I7" i="3"/>
  <c r="I13" i="3"/>
  <c r="I16" i="3"/>
  <c r="I36" i="3"/>
  <c r="C40" i="3" s="1"/>
  <c r="F15" i="4"/>
  <c r="I7" i="4"/>
  <c r="I27" i="3"/>
  <c r="G15" i="4"/>
  <c r="I12" i="4"/>
  <c r="I14" i="3"/>
  <c r="F21" i="5"/>
  <c r="I5" i="3"/>
  <c r="C39" i="3" s="1"/>
  <c r="C18" i="4" s="1"/>
  <c r="I19" i="3"/>
  <c r="I25" i="3"/>
  <c r="I28" i="3"/>
  <c r="H15" i="4"/>
  <c r="C21" i="4" s="1"/>
  <c r="D21" i="5"/>
  <c r="J15" i="4"/>
  <c r="C19" i="4"/>
  <c r="B15" i="4"/>
  <c r="I15" i="4" s="1"/>
  <c r="D9" i="5"/>
  <c r="D19" i="5"/>
  <c r="A6" i="5"/>
  <c r="A8" i="5"/>
  <c r="A10" i="5"/>
  <c r="A12" i="5"/>
  <c r="A14" i="5"/>
  <c r="A16" i="5"/>
  <c r="A18" i="5"/>
  <c r="A20" i="5"/>
  <c r="C27" i="4"/>
  <c r="B6" i="5"/>
  <c r="B8" i="5"/>
  <c r="B10" i="5"/>
  <c r="B12" i="5"/>
  <c r="B14" i="5"/>
  <c r="B16" i="5"/>
  <c r="B18" i="5"/>
  <c r="B20" i="5"/>
  <c r="D7" i="5"/>
  <c r="D13" i="5"/>
  <c r="D17" i="5"/>
  <c r="C15" i="4"/>
  <c r="C6" i="5"/>
  <c r="C8" i="5"/>
  <c r="C10" i="5"/>
  <c r="C12" i="5"/>
  <c r="C14" i="5"/>
  <c r="C16" i="5"/>
  <c r="C18" i="5"/>
  <c r="C20" i="5"/>
  <c r="D5" i="5"/>
  <c r="D11" i="5"/>
  <c r="D15" i="5"/>
  <c r="D6" i="5"/>
  <c r="D8" i="5"/>
  <c r="D10" i="5"/>
  <c r="D12" i="5"/>
  <c r="D14" i="5"/>
  <c r="D16" i="5"/>
  <c r="D18" i="5"/>
  <c r="D20" i="5"/>
  <c r="A5" i="5"/>
  <c r="A7" i="5"/>
  <c r="A9" i="5"/>
  <c r="A11" i="5"/>
  <c r="A13" i="5"/>
  <c r="A15" i="5"/>
  <c r="A17" i="5"/>
  <c r="A19" i="5"/>
  <c r="A21" i="5"/>
  <c r="E6" i="5"/>
  <c r="E8" i="5"/>
  <c r="E10" i="5"/>
  <c r="E12" i="5"/>
  <c r="E14" i="5"/>
  <c r="E16" i="5"/>
  <c r="E18" i="5"/>
  <c r="E20" i="5"/>
  <c r="F6" i="5"/>
  <c r="F8" i="5"/>
  <c r="F10" i="5"/>
  <c r="F12" i="5"/>
  <c r="F14" i="5"/>
  <c r="F16" i="5"/>
  <c r="F18" i="5"/>
  <c r="F20" i="5"/>
  <c r="B5" i="5"/>
  <c r="B7" i="5"/>
  <c r="B9" i="5"/>
  <c r="B11" i="5"/>
  <c r="B13" i="5"/>
  <c r="B15" i="5"/>
  <c r="B17" i="5"/>
  <c r="B19" i="5"/>
  <c r="B21" i="5"/>
  <c r="C5" i="5"/>
  <c r="C7" i="5"/>
  <c r="C9" i="5"/>
  <c r="C11" i="5"/>
  <c r="C13" i="5"/>
  <c r="C15" i="5"/>
  <c r="C17" i="5"/>
  <c r="C19" i="5"/>
  <c r="C21" i="5"/>
  <c r="E5" i="5"/>
  <c r="E7" i="5"/>
  <c r="E9" i="5"/>
  <c r="E11" i="5"/>
  <c r="E13" i="5"/>
  <c r="E15" i="5"/>
  <c r="E17" i="5"/>
  <c r="E19" i="5"/>
  <c r="E21" i="5"/>
  <c r="F5" i="5"/>
  <c r="F7" i="5"/>
  <c r="F9" i="5"/>
  <c r="F11" i="5"/>
  <c r="F13" i="5"/>
  <c r="F15" i="5"/>
  <c r="F17" i="5"/>
  <c r="F19" i="5"/>
  <c r="C30" i="4" l="1"/>
  <c r="C31" i="4" s="1"/>
  <c r="C28" i="4"/>
</calcChain>
</file>

<file path=xl/sharedStrings.xml><?xml version="1.0" encoding="utf-8"?>
<sst xmlns="http://schemas.openxmlformats.org/spreadsheetml/2006/main" count="1536" uniqueCount="772">
  <si>
    <t>KẾ HOẠCH TEST PHÂN HỆ MUA HÀNG — ERP</t>
  </si>
  <si>
    <t>Dùng để giao việc test hằng ngày và báo cáo tiến độ. Lập ngày 26/10/2026.</t>
  </si>
  <si>
    <t>Thông số kế hoạch (ô vàng — sửa được)</t>
  </si>
  <si>
    <t>Ngày bắt đầu test</t>
  </si>
  <si>
    <t>Ngày đầu tiên tester bắt đầu. Đổi ô này thì cột "Ngày dự kiến" tự dời.</t>
  </si>
  <si>
    <t>Số giờ test thực mỗi ngày</t>
  </si>
  <si>
    <t>Giả định: 8 giờ làm, ~2 giờ cho họp, ghi lỗi, chờ dựng bản. Đổi thì số ngày tự tính lại.</t>
  </si>
  <si>
    <t>Tỷ lệ test lại sau sửa lỗi</t>
  </si>
  <si>
    <t>Giả định: khoảng 30% số giờ vòng 1 phải test lại sau khi dev sửa lỗi.</t>
  </si>
  <si>
    <t>Cách dùng hằng ngày</t>
  </si>
  <si>
    <t>1. Sheet "Danh sách test"</t>
  </si>
  <si>
    <t>Lọc cột "Ngày dự kiến" = hôm nay → giao cho tester. Tester điền cột vàng: Người test, Ngày test, Trạng thái, Ghi chú lỗi.</t>
  </si>
  <si>
    <t>2. Trạng thái</t>
  </si>
  <si>
    <t>Chưa test · Đang test · Đạt · Lỗi · Đã sửa – chờ test lại · Chờ người / dữ liệu. Chỉ chọn trong danh sách thả xuống.</t>
  </si>
  <si>
    <t>3. Khi gặp lỗi</t>
  </si>
  <si>
    <t>Chọn "Lỗi", ghi ngắn: làm gì → thấy gì → đúng ra phải là gì (kèm ảnh chụp nếu được). Dev sửa xong đổi thành "Đã sửa – chờ test lại".</t>
  </si>
  <si>
    <t>4. Sheet "25 tình huống"</t>
  </si>
  <si>
    <t>Trả lời câu hỏi "các case kế toán gửi đã ổn hết chưa": tự đếm theo các mục test của từng tình huống.</t>
  </si>
  <si>
    <t>5. Sheet "Tiến độ"</t>
  </si>
  <si>
    <t>Số liệu để báo cáo: bao nhiêu mục đạt / lỗi / còn lại, ước tính số ngày còn lại. Tất cả tự tính, không cần sửa.</t>
  </si>
  <si>
    <t>6. Sheet "Chờ đợi"</t>
  </si>
  <si>
    <t>Những mục chưa test được vì đang chờ người (kế toán mới) hoặc chờ dữ liệu / file thật. Tự lọc từ danh sách test.</t>
  </si>
  <si>
    <t>Ưu tiên</t>
  </si>
  <si>
    <t>P1 = bắt buộc trước khi đưa vào chi nhánh · P2 = nên có · P3 = làm khi có thời gian.</t>
  </si>
  <si>
    <t>Lưu ý</t>
  </si>
  <si>
    <t>25 tình huống đã được kiểm tự động bằng máy (25/25 đạt ngày 26/10/2026). Kế hoạch này là kiểm bằng tay trên giao diện như người dùng thật — bước bắt buộc trước khi báo "ổn".</t>
  </si>
  <si>
    <t>Ước tính thời gian</t>
  </si>
  <si>
    <t>Giờ ở mỗi dòng là thời gian của 1 tester đã quen phần mềm, gồm cả chuẩn bị dữ liệu và ghi kết quả. Ngày đầu tiên thường chậm hơn (làm quen).</t>
  </si>
  <si>
    <t>DANH SÁCH TEST — PHÂN HỆ MUA HÀNG</t>
  </si>
  <si>
    <t>Cột trắng: kế hoạch (dev điền). Cột vàng: tester điền. "Ngày thứ" và "Ngày dự kiến" tự tính theo giờ ước tính và thông số ở sheet Hướng dẫn; mục đang chờ không xếp ngày.</t>
  </si>
  <si>
    <t>Mã test</t>
  </si>
  <si>
    <t>Phần</t>
  </si>
  <si>
    <t>Màn</t>
  </si>
  <si>
    <t>Chức năng</t>
  </si>
  <si>
    <t>Cách test</t>
  </si>
  <si>
    <t>Kết quả đúng</t>
  </si>
  <si>
    <t>Tình huống liên quan</t>
  </si>
  <si>
    <t>Giờ ước tính</t>
  </si>
  <si>
    <t>Phụ thuộc / đang chờ</t>
  </si>
  <si>
    <t>Đang chờ?</t>
  </si>
  <si>
    <t>Ngày thứ</t>
  </si>
  <si>
    <t>Ngày dự kiến</t>
  </si>
  <si>
    <t>Người test</t>
  </si>
  <si>
    <t>Ngày test thực tế</t>
  </si>
  <si>
    <t>Trạng thái</t>
  </si>
  <si>
    <t>Ghi chú / mô tả lỗi</t>
  </si>
  <si>
    <t>khoá TH</t>
  </si>
  <si>
    <t>CH-01</t>
  </si>
  <si>
    <t>Chung &amp; đăng nhập</t>
  </si>
  <si>
    <t>ERP</t>
  </si>
  <si>
    <t>Đăng nhập &amp; quyền</t>
  </si>
  <si>
    <t>Đăng nhập ERP bằng tài khoản website; mở phân hệ Mua hàng. Thử thêm 1 tài khoản không có quyền mua hàng.</t>
  </si>
  <si>
    <t>Vào được bằng tài khoản website, không phải đăng nhập lại; tài khoản không có quyền không thấy menu Mua hàng.</t>
  </si>
  <si>
    <t>P1</t>
  </si>
  <si>
    <t>Không</t>
  </si>
  <si>
    <t>Chưa test</t>
  </si>
  <si>
    <t>Ví dụ ghi lỗi: Bấm Ghi phiếu → báo "lỗi máy chủ" → đúng ra phải lưu được. (Xoá câu này khi test thật)</t>
  </si>
  <si>
    <t>CH-02</t>
  </si>
  <si>
    <t>Chi nhánh làm việc</t>
  </si>
  <si>
    <t>Đổi chi nhánh ở thanh dưới, mở lại các màn Mua hàng.</t>
  </si>
  <si>
    <t>Danh sách phiếu, tồn, hạn mức đổi theo chi nhánh đang chọn.</t>
  </si>
  <si>
    <t>CH-03</t>
  </si>
  <si>
    <t>Tìm kiếm menu</t>
  </si>
  <si>
    <t>Gõ tên màn hoặc mã (vd "MH03", "chứng từ") ở ô tìm kiếm menu.</t>
  </si>
  <si>
    <t>Ra đúng màn; không bật hộp đen / không tự điền mật khẩu.</t>
  </si>
  <si>
    <t>P3</t>
  </si>
  <si>
    <t>CH-04</t>
  </si>
  <si>
    <t>Cửa sổ xem / sửa</t>
  </si>
  <si>
    <t>Mở 1 phiếu, 1 NCC, 1 mặt hàng: thử bấm Sửa, Ghi, Thoát, nút ✕, phím Esc.</t>
  </si>
  <si>
    <t>Mở ra ở chế độ xem; bấm Sửa mới sửa được; ✕ và Esc đóng được cả khi đang xem.</t>
  </si>
  <si>
    <t>P2</t>
  </si>
  <si>
    <t>CH-05</t>
  </si>
  <si>
    <t>Nút Hướng dẫn</t>
  </si>
  <si>
    <t>Bấm nút Hướng dẫn trên từng màn MH00–MH14, DM10, DM11, DM15.</t>
  </si>
  <si>
    <t>Màn nào cũng có; nội dung nói đúng màn đó, đọc hiểu được.</t>
  </si>
  <si>
    <t>CH-06</t>
  </si>
  <si>
    <t>Bảng dữ liệu</t>
  </si>
  <si>
    <t>Kéo giãn cột, lọc, tìm trong bảng, sắp xếp ở danh sách chứng từ và danh mục.</t>
  </si>
  <si>
    <t>Kéo giãn được, mở lại vẫn nhớ độ rộng; lọc/tìm đúng.</t>
  </si>
  <si>
    <t>CH-07</t>
  </si>
  <si>
    <t>MH00</t>
  </si>
  <si>
    <t>Tổng quan &amp; 25 tình huống</t>
  </si>
  <si>
    <t>Mở MH00, bấm lần lượt từng tình huống.</t>
  </si>
  <si>
    <t>Mỗi tình huống dẫn đúng tới màn / phiếu xử lý.</t>
  </si>
  <si>
    <t>CH-08</t>
  </si>
  <si>
    <t>MH13</t>
  </si>
  <si>
    <t>Cơ sở dữ liệu mua hàng</t>
  </si>
  <si>
    <t>Đọc trang luồng dữ liệu, so với cách làm thực tế khi test.</t>
  </si>
  <si>
    <t>Luồng đúng với phần mềm; dùng được khi trình bày.</t>
  </si>
  <si>
    <t>DM-01</t>
  </si>
  <si>
    <t>Danh mục hàng &amp; NCC</t>
  </si>
  <si>
    <t>DM11</t>
  </si>
  <si>
    <t>Nhóm hàng ngành → nhãn → nhóm</t>
  </si>
  <si>
    <t>Thêm 1 ngành, 1 nhãn, 1 nhóm; thử mã đoạn sai độ dài, trùng mã; sửa; ngừng dùng.</t>
  </si>
  <si>
    <t>Đoạn mã đúng độ dài (2 / 3 / 1 ký tự), trùng bị chặn; có cột Cấp và "Đoạn mã trong mã hàng".</t>
  </si>
  <si>
    <t>DM-02</t>
  </si>
  <si>
    <t>DM10</t>
  </si>
  <si>
    <t>Sinh mã hàng tự động</t>
  </si>
  <si>
    <t>Thêm mặt hàng mới, chọn nhóm cấp 3.</t>
  </si>
  <si>
    <t>Mã 9 số = ngành + nhãn + nhóm + số thứ tự tiếp theo; không bị nhảy / trùng; giải thích từng đoạn mã.</t>
  </si>
  <si>
    <t>DM-03</t>
  </si>
  <si>
    <t>Mã quà, mã đuôi, mã biến thể</t>
  </si>
  <si>
    <t>Tạo hàng quà (đầu Q); tạo mã có đuôi K / M / Q / T / Z; từ 1 mã gốc bấm "Tạo mã biến thể".</t>
  </si>
  <si>
    <t>Mã quà đúng quy tắc; đuôi đúng; biến thể mở mượt, giữ thông tin mã gốc.</t>
  </si>
  <si>
    <t>DM-04</t>
  </si>
  <si>
    <t>Sửa mã, đổi nhóm</t>
  </si>
  <si>
    <t>Sửa tay mã hàng; đổi nhóm của hàng mới; nhập mã đã có.</t>
  </si>
  <si>
    <t>Sửa được; đổi nhóm thì gợi ý mã mới; mã trùng bị chặn.</t>
  </si>
  <si>
    <t>DM-05</t>
  </si>
  <si>
    <t>Đơn vị tính &amp; quy đổi</t>
  </si>
  <si>
    <t>Khai Lon (tỉ lệ 1), Thùng = 24 Lon; chọn ĐVT mua mặc định.</t>
  </si>
  <si>
    <t>ĐVT nhỏ nhất tỉ lệ 1; quy đổi dùng đúng ở phiếu, báo cáo, min–max.</t>
  </si>
  <si>
    <t>VD4</t>
  </si>
  <si>
    <t>|VD4|</t>
  </si>
  <si>
    <t>DM-06</t>
  </si>
  <si>
    <t>Thuế suất mặt hàng</t>
  </si>
  <si>
    <t>Khai hàng 8%, 10%, 0%; đưa vào phiếu nhập.</t>
  </si>
  <si>
    <t>Thuế suất hiện rõ; vào phiếu tự lấy đúng.</t>
  </si>
  <si>
    <t>VD2</t>
  </si>
  <si>
    <t>|VD2|</t>
  </si>
  <si>
    <t>DM-07</t>
  </si>
  <si>
    <t>Bảng giá mua theo NCC</t>
  </si>
  <si>
    <t>Khai giá cố định theo ĐVT (Hộp), có hiệu lực, gồm / chưa VAT; khai giá thứ 2 hết hiệu lực.</t>
  </si>
  <si>
    <t>Phiếu lấy đúng giá đang hiệu lực, quy đổi đúng ĐVT, đúng loại giá (gồm / chưa VAT).</t>
  </si>
  <si>
    <t>TH25, VD4</t>
  </si>
  <si>
    <t>|TH25|VD4|</t>
  </si>
  <si>
    <t>DM-08</t>
  </si>
  <si>
    <t>Tồn min–max</t>
  </si>
  <si>
    <t>Mở hộp Tồn min–max của 1 mã; nhập theo Thùng, đặt tròn theo Thùng.</t>
  </si>
  <si>
    <t>Câu ví dụ tự tính đúng; min ≥ max bị chặn; lưu đúng.</t>
  </si>
  <si>
    <t>DM-09</t>
  </si>
  <si>
    <t>Nhập Excel mặt hàng</t>
  </si>
  <si>
    <t>Tải file mẫu, điền 20 mã (có vài dòng sai), nhập.</t>
  </si>
  <si>
    <t>Báo rõ dòng lỗi trước khi ghi; dòng đúng ghi được.</t>
  </si>
  <si>
    <t>DM-10</t>
  </si>
  <si>
    <t>DM15</t>
  </si>
  <si>
    <t>Danh mục đơn vị tính</t>
  </si>
  <si>
    <t>Thêm / sửa ĐVT; thêm "lon" khi đã có "Lon".</t>
  </si>
  <si>
    <t>Không trùng khác hoa thường; dùng được ngay ở mặt hàng.</t>
  </si>
  <si>
    <t>DM-11</t>
  </si>
  <si>
    <t>MH01</t>
  </si>
  <si>
    <t>Thêm nhà cung cấp</t>
  </si>
  <si>
    <t>Thêm NCC Trung Hậu đủ MST, địa chỉ, SĐT, nhóm NCC, hạn thanh toán, hạn mức.</t>
  </si>
  <si>
    <t>Lưu đủ; có Người tạo / Ngày giờ tạo; tìm được theo mã, tên, MST.</t>
  </si>
  <si>
    <t>TH1</t>
  </si>
  <si>
    <t>|TH1|</t>
  </si>
  <si>
    <t>DM-12</t>
  </si>
  <si>
    <t>NCC vừa là khách hàng</t>
  </si>
  <si>
    <t>Tích "Đối tượng này là: Khách hàng" cho 1 NCC.</t>
  </si>
  <si>
    <t>Cùng một mã hiện ở cả danh sách khách hàng và NCC; ô tích có giải thích dễ hiểu.</t>
  </si>
  <si>
    <t>DM-13</t>
  </si>
  <si>
    <t>Nhãn hàng của NCC</t>
  </si>
  <si>
    <t>Mở tab nhãn hàng của NCC đã có phiếu.</t>
  </si>
  <si>
    <t>Chỉ đọc, tự lấy từ hàng trên phiếu (không phải khai tay).</t>
  </si>
  <si>
    <t>DM-14</t>
  </si>
  <si>
    <t>DM08</t>
  </si>
  <si>
    <t>Nhóm nhà cung cấp</t>
  </si>
  <si>
    <t>Thêm nhóm "NCC hàng hoá", gán cho NCC.</t>
  </si>
  <si>
    <t>Lọc NCC theo nhóm đúng.</t>
  </si>
  <si>
    <t>CS-01</t>
  </si>
  <si>
    <t>Chính sách &amp; cài đặt</t>
  </si>
  <si>
    <t>MH04</t>
  </si>
  <si>
    <t>CK thẳng % trên đơn</t>
  </si>
  <si>
    <t>Khai CK 7% cho NCC Trung Hậu, có hiệu lực.</t>
  </si>
  <si>
    <t>Phiếu nhập của NCC tự áp 7%.</t>
  </si>
  <si>
    <t>TH1, TH4</t>
  </si>
  <si>
    <t>|TH1|TH4|</t>
  </si>
  <si>
    <t>CS-02</t>
  </si>
  <si>
    <t>CK bằng tiền trên tổng đơn</t>
  </si>
  <si>
    <t>Khai CK 2.000.000 trên tổng đơn.</t>
  </si>
  <si>
    <t>Tự trừ và chia vào giá từng dòng; tổng đúng.</t>
  </si>
  <si>
    <t>TH2</t>
  </si>
  <si>
    <t>|TH2|</t>
  </si>
  <si>
    <t>CS-03</t>
  </si>
  <si>
    <t>CK bậc số lượng</t>
  </si>
  <si>
    <t>Khai bậc &lt;50: 0%, 50–99: 3%, 100–199: 5%, ≥200: 7%.</t>
  </si>
  <si>
    <t>Đúng bậc theo SL, không áp nhầm bậc 7%.</t>
  </si>
  <si>
    <t>TH7, VD2, VD8</t>
  </si>
  <si>
    <t>|TH7|VD2|VD8|</t>
  </si>
  <si>
    <t>CS-04</t>
  </si>
  <si>
    <t>CK thanh toán đúng hạn (CKTT)</t>
  </si>
  <si>
    <t>Khai CKTT 2% nếu trả đúng hạn.</t>
  </si>
  <si>
    <t>Hiện CKTT dự kiến trên phiếu; chỉ ghi khi trả đúng hạn.</t>
  </si>
  <si>
    <t>TH4</t>
  </si>
  <si>
    <t>|TH4|</t>
  </si>
  <si>
    <t>CS-05</t>
  </si>
  <si>
    <t>Khuyến mại mua X tặng Y</t>
  </si>
  <si>
    <t>Khai 2 chương trình: KM người bán (chia giá) và KM người tiêu dùng (không chia).</t>
  </si>
  <si>
    <t>Phiếu tự thêm dòng quà; chia giá thì giá vốn giảm, không chia thì không.</t>
  </si>
  <si>
    <t>TH14</t>
  </si>
  <si>
    <t>|TH14|</t>
  </si>
  <si>
    <t>CS-06</t>
  </si>
  <si>
    <t>Thưởng doanh số kỳ</t>
  </si>
  <si>
    <t>Khai thưởng tháng 300 triệu → 3%.</t>
  </si>
  <si>
    <t>Màn Tính thưởng nhận đúng chính sách.</t>
  </si>
  <si>
    <t>TH8</t>
  </si>
  <si>
    <t>|TH8|</t>
  </si>
  <si>
    <t>CS-07</t>
  </si>
  <si>
    <t>Chỉ tiêu theo nhãn</t>
  </si>
  <si>
    <t>Khai chỉ tiêu Anlene tháng 500 triệu, đạt 110% → 3%.</t>
  </si>
  <si>
    <t>Tính đúng tỷ lệ hoàn thành.</t>
  </si>
  <si>
    <t>TH15</t>
  </si>
  <si>
    <t>|TH15|</t>
  </si>
  <si>
    <t>CS-08</t>
  </si>
  <si>
    <t>Thưởng theo giai đoạn</t>
  </si>
  <si>
    <t>Khai các giai đoạn trong tháng.</t>
  </si>
  <si>
    <t>Mỗi giai đoạn tính trên doanh số của chính nó.</t>
  </si>
  <si>
    <t>TH16</t>
  </si>
  <si>
    <t>|TH16|</t>
  </si>
  <si>
    <t>CS-09</t>
  </si>
  <si>
    <t>Hạn mức công nợ</t>
  </si>
  <si>
    <t>Khai hạn mức NCC 600 triệu; hạn mức nhãn Anlene 2 tỷ chia chi nhánh.</t>
  </si>
  <si>
    <t>Phiếu kiểm hạn mức đúng; phân bổ chi nhánh đúng.</t>
  </si>
  <si>
    <t>TH3, TH12, TH13, TH17</t>
  </si>
  <si>
    <t>|TH3|TH12|TH13|TH17|</t>
  </si>
  <si>
    <t>CS-10</t>
  </si>
  <si>
    <t>Điều khoản thanh toán</t>
  </si>
  <si>
    <t>Khai hạn 10 / 15 ngày làm việc, tính từ ngày hoá đơn.</t>
  </si>
  <si>
    <t>Hạn tự tính trừ thứ 7, CN, ngày lễ.</t>
  </si>
  <si>
    <t>TH1, TH18</t>
  </si>
  <si>
    <t>|TH1|TH18|</t>
  </si>
  <si>
    <t>CS-11</t>
  </si>
  <si>
    <t>Chỉ tiêu cung ứng chi nhánh</t>
  </si>
  <si>
    <t>Khai chỉ tiêu cung ứng cho 3 chi nhánh.</t>
  </si>
  <si>
    <t>Hiện đúng ở màn hạn mức.</t>
  </si>
  <si>
    <t>TH17</t>
  </si>
  <si>
    <t>|TH17|</t>
  </si>
  <si>
    <t>CS-12</t>
  </si>
  <si>
    <t>Hiệu lực, tạm ngừng, trùng</t>
  </si>
  <si>
    <t>Cho 1 chính sách hết hạn; tạm ngừng 1 cái; khai 2 chính sách chồng nhau.</t>
  </si>
  <si>
    <t>Hết hạn / tạm ngừng không áp nữa; chồng nhau áp theo ưu tiên, không cộng trùng.</t>
  </si>
  <si>
    <t>CS-13</t>
  </si>
  <si>
    <t>Bảng chiết khấu theo mã &amp; Excel</t>
  </si>
  <si>
    <t>Khai CK theo từng mã có ĐVT; nhập từ Excel.</t>
  </si>
  <si>
    <t>Dòng hàng nhận đúng CK theo mã và ĐVT.</t>
  </si>
  <si>
    <t>CS-14</t>
  </si>
  <si>
    <t>MH12</t>
  </si>
  <si>
    <t>Cài đặt mua hàng</t>
  </si>
  <si>
    <t>Khai ngày lễ, số ngày báo trước hạn, % lệch giá cảnh báo, tài khoản mặc định, số dư nhãn đầu kỳ.</t>
  </si>
  <si>
    <t>Đổi cài đặt thì phiếu / cảnh báo đổi theo.</t>
  </si>
  <si>
    <t>TH18</t>
  </si>
  <si>
    <t>|TH18|</t>
  </si>
  <si>
    <t>CT-01</t>
  </si>
  <si>
    <t>Chứng từ mua hàng (MH03)</t>
  </si>
  <si>
    <t>MH03</t>
  </si>
  <si>
    <t>Đơn đặt hàng</t>
  </si>
  <si>
    <t>Lập đơn đặt: chọn NCC, hàng, ĐVT, SL; lưu.</t>
  </si>
  <si>
    <t>Số đơn tự sinh; xuất hiện ở danh sách; chưa ghi sổ.</t>
  </si>
  <si>
    <t>TH5</t>
  </si>
  <si>
    <t>|TH5|</t>
  </si>
  <si>
    <t>CT-02</t>
  </si>
  <si>
    <t>Nhập mua từ đơn đặt</t>
  </si>
  <si>
    <t>Lập phiếu nhập kế thừa đơn đặt; nhận thiếu 1 dòng.</t>
  </si>
  <si>
    <t>Lấy đủ dòng từ đơn; báo lệch đơn đặt ↔ phiếu nhập ↔ hoá đơn.</t>
  </si>
  <si>
    <t>CT-03</t>
  </si>
  <si>
    <t>Thêm hàng nhanh</t>
  </si>
  <si>
    <t>Thêm hàng bằng F3, gõ nhiều từ của tên, gõ mã.</t>
  </si>
  <si>
    <t>Tìm nhanh, chọn đúng; không chọn được hàng không có trong danh mục.</t>
  </si>
  <si>
    <t>CT-04</t>
  </si>
  <si>
    <t>Giá gồm / chưa VAT, nhiều thuế suất</t>
  </si>
  <si>
    <t>Phiếu có hàng 8% và 10%; đổi loại giá của phiếu qua lại.</t>
  </si>
  <si>
    <t>Thuế từng dòng đúng; tổng không đổi khi đổi loại giá; cột Thành tiền gồm thuế đúng.</t>
  </si>
  <si>
    <t>CT-05</t>
  </si>
  <si>
    <t>Nhập theo Thùng / Lon</t>
  </si>
  <si>
    <t>Nhập dòng theo Thùng khi giá khai theo Lon / Hộp.</t>
  </si>
  <si>
    <t>Quy đổi đúng, so giá theo giá quy đổi.</t>
  </si>
  <si>
    <t>CT-06</t>
  </si>
  <si>
    <t>Gợi ý &amp; cảnh báo giá</t>
  </si>
  <si>
    <t>Để trống giá; nhập đúng giá NCC; nhập cao hơn 3,9%.</t>
  </si>
  <si>
    <t>Hiện "Dùng giá NCC…", "✓ đúng giá", "cao hơn …%" — bấm để dùng; vượt % cài đặt thì cảnh báo, không chặn.</t>
  </si>
  <si>
    <t>VD4, TH25</t>
  </si>
  <si>
    <t>|VD4|TH25|</t>
  </si>
  <si>
    <t>CT-07</t>
  </si>
  <si>
    <t>Khuyến mại tự áp</t>
  </si>
  <si>
    <t>Nhập đủ SL để được quà; sửa SL quà thiếu / thừa; mở Bảng khuyến mại.</t>
  </si>
  <si>
    <t>Dòng quà tự thêm; báo thiếu / thừa quà; bảng KM dễ hiểu.</t>
  </si>
  <si>
    <t>CT-08</t>
  </si>
  <si>
    <t>Chiết khấu tự áp</t>
  </si>
  <si>
    <t>Nhập phiếu Trung Hậu 60 + 24 lon.</t>
  </si>
  <si>
    <t>CK 7% tự áp; tổng 39.082.320.</t>
  </si>
  <si>
    <t>TH1, TH2</t>
  </si>
  <si>
    <t>|TH1|TH2|</t>
  </si>
  <si>
    <t>CT-09</t>
  </si>
  <si>
    <t>Quà ngoài hợp đồng</t>
  </si>
  <si>
    <t>Nhận 5 thùng quà không hoá đơn.</t>
  </si>
  <si>
    <t>Tách chứng từ riêng; hạch toán Có 711.</t>
  </si>
  <si>
    <t>TH2, TH20</t>
  </si>
  <si>
    <t>|TH2|TH20|</t>
  </si>
  <si>
    <t>CT-10</t>
  </si>
  <si>
    <t>Hoá đơn &amp; trùng hoá đơn</t>
  </si>
  <si>
    <t>Nhập số, ngày, ký hiệu HĐ; nhập lại số HĐ đã có cùng MST.</t>
  </si>
  <si>
    <t>Cảnh báo trùng hoá đơn.</t>
  </si>
  <si>
    <t>CT-11</t>
  </si>
  <si>
    <t>Lệch tổng hoá đơn</t>
  </si>
  <si>
    <t>Nhập tổng HĐ khác tổng phần mềm tính.</t>
  </si>
  <si>
    <t>Cảnh báo lệch, ghi rõ số chênh.</t>
  </si>
  <si>
    <t>CT-12</t>
  </si>
  <si>
    <t>Lô &amp; hạn dùng trên phiếu</t>
  </si>
  <si>
    <t>Hàng theo dõi lô: bỏ trống lô; nhập lô còn 19 ngày.</t>
  </si>
  <si>
    <t>Thiếu lô bị chặn; cận date cảnh báo.</t>
  </si>
  <si>
    <t>TH19, VD7</t>
  </si>
  <si>
    <t>|TH19|VD7|</t>
  </si>
  <si>
    <t>CT-13</t>
  </si>
  <si>
    <t>Cột "Cần xử lý"</t>
  </si>
  <si>
    <t>Xem danh sách chứng từ có phiếu đang cảnh báo.</t>
  </si>
  <si>
    <t>Cột ghi ngắn gọn việc cần xử lý; lọc theo trạng thái được.</t>
  </si>
  <si>
    <t>CT-14</t>
  </si>
  <si>
    <t>Xem trước hạch toán</t>
  </si>
  <si>
    <t>Mở tab Hạch toán trước khi duyệt.</t>
  </si>
  <si>
    <t>Bút toán Nợ / Có đúng bảng hạch toán (1561, 1331, 331, 711…).</t>
  </si>
  <si>
    <t>Cần kế toán xác nhận định khoản</t>
  </si>
  <si>
    <t>CT-15</t>
  </si>
  <si>
    <t>Luồng trạng thái phiếu</t>
  </si>
  <si>
    <t>Nháp → Chờ duyệt → Duyệt → Huỷ; thử sửa phiếu đã duyệt.</t>
  </si>
  <si>
    <t>Duyệt mới ghi sổ; đã duyệt bị khoá sửa; huỷ đảo sổ.</t>
  </si>
  <si>
    <t>CT-16</t>
  </si>
  <si>
    <t>Duyệt ngoại lệ vượt hạn mức</t>
  </si>
  <si>
    <t>Lập phiếu vượt hạn mức, bấm duyệt; duyệt ngoại lệ có lý do.</t>
  </si>
  <si>
    <t>Bị chặn; người có quyền duyệt được kèm lý do; có vết ở nhật ký.</t>
  </si>
  <si>
    <t>TH3, TH13</t>
  </si>
  <si>
    <t>|TH3|TH13|</t>
  </si>
  <si>
    <t>CT-17</t>
  </si>
  <si>
    <t>Trả hàng NCC</t>
  </si>
  <si>
    <t>Trả 1 phần hàng gắn phiếu gốc; trả quá số đã nhận.</t>
  </si>
  <si>
    <t>Trả một phần đúng; trả quá bị chặn.</t>
  </si>
  <si>
    <t>TH23, VD6</t>
  </si>
  <si>
    <t>|TH23|VD6|</t>
  </si>
  <si>
    <t>CT-18</t>
  </si>
  <si>
    <t>Đổi hàng</t>
  </si>
  <si>
    <t>Đổi cùng mã; đổi khác mã khác giá.</t>
  </si>
  <si>
    <t>Cùng mã chênh 0; khác mã ra số trả thêm đúng (1.080.000).</t>
  </si>
  <si>
    <t>TH23</t>
  </si>
  <si>
    <t>|TH23|</t>
  </si>
  <si>
    <t>CT-19</t>
  </si>
  <si>
    <t>Ứng trước NCC</t>
  </si>
  <si>
    <t>Lập ứng trước 100% theo đơn DH005; nhận hàng + HĐ 3185.</t>
  </si>
  <si>
    <t>Tự đối trừ, không ghi trả trùng.</t>
  </si>
  <si>
    <t>CT-20</t>
  </si>
  <si>
    <t>Chi phí mua hàng</t>
  </si>
  <si>
    <t>Lập phiếu chi phí vận chuyển / bốc xếp, chọn cách phân bổ.</t>
  </si>
  <si>
    <t>Phân bổ đúng theo giá trị / SL vào từng mã.</t>
  </si>
  <si>
    <t>TH21, VD3</t>
  </si>
  <si>
    <t>|TH21|VD3|</t>
  </si>
  <si>
    <t>CT-21</t>
  </si>
  <si>
    <t>CK sau mua có HĐ điều chỉnh</t>
  </si>
  <si>
    <t>Lập phiếu CK / thưởng sau mua có hoá đơn điều chỉnh.</t>
  </si>
  <si>
    <t>Giảm công nợ + VAT đúng; hoá đơn gốc giữ nguyên.</t>
  </si>
  <si>
    <t>TH8, VD5</t>
  </si>
  <si>
    <t>|TH8|VD5|</t>
  </si>
  <si>
    <t>CT-22</t>
  </si>
  <si>
    <t>Trả nhiều đợt</t>
  </si>
  <si>
    <t>Một HĐ 108 triệu chia 3 đợt 30 / 40 / 38.</t>
  </si>
  <si>
    <t>Mỗi đợt có hạn riêng; trạng thái đến hạn / quá hạn đúng.</t>
  </si>
  <si>
    <t>TH11</t>
  </si>
  <si>
    <t>|TH11|</t>
  </si>
  <si>
    <t>CT-23</t>
  </si>
  <si>
    <t>Nhập / xuất dòng hàng Excel</t>
  </si>
  <si>
    <t>Xuất dòng ra Excel; nhập lại file có vài dòng sai; nhập file thật của NCC.</t>
  </si>
  <si>
    <t>Báo dòng lỗi trước khi ghi; dòng đúng vào phiếu.</t>
  </si>
  <si>
    <t>VD1</t>
  </si>
  <si>
    <t>Chờ file Excel thật "VD1. Vinh Châu.xlsx"</t>
  </si>
  <si>
    <t>Có</t>
  </si>
  <si>
    <t>Chờ người / dữ liệu</t>
  </si>
  <si>
    <t>|VD1|</t>
  </si>
  <si>
    <t>CT-24</t>
  </si>
  <si>
    <t>Chặn số âm, dữ liệu sai</t>
  </si>
  <si>
    <t>Nhập SL âm, giá âm, ĐVT lạ.</t>
  </si>
  <si>
    <t>Bị chặn ở cả form và máy chủ.</t>
  </si>
  <si>
    <t>CT-25</t>
  </si>
  <si>
    <t>Xoá phiếu</t>
  </si>
  <si>
    <t>Xoá phiếu nháp; thử xoá phiếu đã duyệt.</t>
  </si>
  <si>
    <t>Nháp xoá được; đã duyệt không xoá được.</t>
  </si>
  <si>
    <t>HM-01</t>
  </si>
  <si>
    <t>Đặt hàng, hạn mức, công nợ</t>
  </si>
  <si>
    <t>MH02</t>
  </si>
  <si>
    <t>Đề xuất đặt hàng theo min–max</t>
  </si>
  <si>
    <t>Mã có tồn ≤ min, đang có đơn đặt chưa về.</t>
  </si>
  <si>
    <t>Đề xuất đặt đủ max, trừ hàng đang về, làm tròn theo thùng.</t>
  </si>
  <si>
    <t>HM-02</t>
  </si>
  <si>
    <t>Tạo đơn từ đề xuất</t>
  </si>
  <si>
    <t>Chọn dòng đề xuất → tạo đơn đặt.</t>
  </si>
  <si>
    <t>Ra đơn đặt đúng NCC, đúng SL.</t>
  </si>
  <si>
    <t>HM-03</t>
  </si>
  <si>
    <t>MH05</t>
  </si>
  <si>
    <t>Mức dùng hạn mức</t>
  </si>
  <si>
    <t>Xem NCC / nhãn / chi nhánh sau các phiếu TH3, TH12.</t>
  </si>
  <si>
    <t>Nợ hiện tại + đơn mở + phiếu đúng; còn lại đúng (32.550.000).</t>
  </si>
  <si>
    <t>TH3, TH12</t>
  </si>
  <si>
    <t>|TH3|TH12|</t>
  </si>
  <si>
    <t>HM-04</t>
  </si>
  <si>
    <t>Điều chuyển hạn mức</t>
  </si>
  <si>
    <t>Chuyển hạn mức giữa 2 chi nhánh; thử chuyển quá phần chưa dùng.</t>
  </si>
  <si>
    <t>Có vết; không cho vượt tổng.</t>
  </si>
  <si>
    <t>HM-05</t>
  </si>
  <si>
    <t>Công nợ đến hạn &amp; tuổi nợ</t>
  </si>
  <si>
    <t>Xem tuổi nợ có ngày lễ chen giữa.</t>
  </si>
  <si>
    <t>6 nhóm tuổi nợ đúng; hạn tính theo ngày làm việc.</t>
  </si>
  <si>
    <t>HM-06</t>
  </si>
  <si>
    <t>Trả tiền &amp; CKTT</t>
  </si>
  <si>
    <t>Trả đúng hạn 1 phiếu; trả quá hạn 1 phiếu.</t>
  </si>
  <si>
    <t>Đúng hạn được CKTT 781.646 (Nợ 331 / Có 515); quá hạn không.</t>
  </si>
  <si>
    <t>HM-07</t>
  </si>
  <si>
    <t>Cảnh báo nợ quá hạn</t>
  </si>
  <si>
    <t>Lập phiếu mới cho NCC đang có nợ quá hạn.</t>
  </si>
  <si>
    <t>Hiện cảnh báo ngay khi chọn NCC.</t>
  </si>
  <si>
    <t>TP-01</t>
  </si>
  <si>
    <t>Thưởng, phân bổ, lô, quà, nhật ký</t>
  </si>
  <si>
    <t>MH06</t>
  </si>
  <si>
    <t>Thưởng doanh số tháng</t>
  </si>
  <si>
    <t>Chạy tính thưởng tháng 10; chạy lại lần 2.</t>
  </si>
  <si>
    <t>9.000.000 + VAT 720.000; chạy lại không tính trùng.</t>
  </si>
  <si>
    <t>TP-02</t>
  </si>
  <si>
    <t>Thưởng chỉ tiêu</t>
  </si>
  <si>
    <t>Tính thưởng chỉ tiêu Anlene; xem quý / năm.</t>
  </si>
  <si>
    <t>16.500.000; quý / năm tính độc lập.</t>
  </si>
  <si>
    <t>TP-03</t>
  </si>
  <si>
    <t>Thưởng giai đoạn</t>
  </si>
  <si>
    <t>Tính thưởng từng giai đoạn trong tháng.</t>
  </si>
  <si>
    <t>Mỗi giai đoạn chỉ tính doanh số của nó.</t>
  </si>
  <si>
    <t>TP-04</t>
  </si>
  <si>
    <t>Phân bổ thưởng theo mã</t>
  </si>
  <si>
    <t>Phân bổ thưởng 16,5 triệu vào các mã.</t>
  </si>
  <si>
    <t>Giá thực tế từng mã giảm, tổng khớp.</t>
  </si>
  <si>
    <t>TH22, TH25</t>
  </si>
  <si>
    <t>|TH22|TH25|</t>
  </si>
  <si>
    <t>TP-05</t>
  </si>
  <si>
    <t>MH07</t>
  </si>
  <si>
    <t>Phân bổ chi phí</t>
  </si>
  <si>
    <t>Phân bổ cước 10 triệu theo giá trị cho nhiều phiếu.</t>
  </si>
  <si>
    <t>4,8 / 3,2 / 2 triệu; Anlene Gold 489.600 / lon.</t>
  </si>
  <si>
    <t>TH21</t>
  </si>
  <si>
    <t>|TH21|</t>
  </si>
  <si>
    <t>TP-06</t>
  </si>
  <si>
    <t>Giá vốn thực tế</t>
  </si>
  <si>
    <t>Xem giá vốn thực tế từng dòng.</t>
  </si>
  <si>
    <t>Giá vốn = giá sau CK − quà chia giá + chi phí − thưởng.</t>
  </si>
  <si>
    <t>TH25</t>
  </si>
  <si>
    <t>|TH25|</t>
  </si>
  <si>
    <t>TP-07</t>
  </si>
  <si>
    <t>MH08</t>
  </si>
  <si>
    <t>Tồn theo lô &amp; cận date</t>
  </si>
  <si>
    <t>Xem tồn 2 lô A 15/11, B 30/11.</t>
  </si>
  <si>
    <t>Cảnh báo 30 / 15 / 7 ngày; cột Xuất trước đúng lô.</t>
  </si>
  <si>
    <t>TH19</t>
  </si>
  <si>
    <t>|TH19|</t>
  </si>
  <si>
    <t>TP-08</t>
  </si>
  <si>
    <t>MH09</t>
  </si>
  <si>
    <t>Nhập – xuất – tồn quà</t>
  </si>
  <si>
    <t>Quà NCC tặng 100, tự mua 50 có VAT + 30 không VAT; xuất vượt tồn.</t>
  </si>
  <si>
    <t>Tồn tách theo nguồn; xuất vượt bị chặn; ngân sách quà đúng.</t>
  </si>
  <si>
    <t>TH20</t>
  </si>
  <si>
    <t>|TH20|</t>
  </si>
  <si>
    <t>TP-09</t>
  </si>
  <si>
    <t>MH10</t>
  </si>
  <si>
    <t>Nhật ký mua hàng</t>
  </si>
  <si>
    <t>Lọc nhật ký theo ngày / loại sự kiện.</t>
  </si>
  <si>
    <t>Có đủ cảnh báo, duyệt ngoại lệ, điều chuyển hạn mức, chạy thưởng.</t>
  </si>
  <si>
    <t>BC-01</t>
  </si>
  <si>
    <t>Báo cáo</t>
  </si>
  <si>
    <t>MH11</t>
  </si>
  <si>
    <t>Tổng hợp mua hàng</t>
  </si>
  <si>
    <t>Xem theo ngành / nhóm / mã / NCC / chi nhánh; bấm mở phiếu.</t>
  </si>
  <si>
    <t>Số khớp phiếu; có công nợ còn lại theo mã.</t>
  </si>
  <si>
    <t>TH24</t>
  </si>
  <si>
    <t>|TH24|</t>
  </si>
  <si>
    <t>BC-02</t>
  </si>
  <si>
    <t>MH14</t>
  </si>
  <si>
    <t>Chi tiết chính sách mua hàng</t>
  </si>
  <si>
    <t>Xem từng dòng chính sách đã áp; xuất Excel.</t>
  </si>
  <si>
    <t>Thấy phiếu nào áp chính sách nào, ra bao nhiêu tiền.</t>
  </si>
  <si>
    <t>BC-03</t>
  </si>
  <si>
    <t>ACC77</t>
  </si>
  <si>
    <t>Sổ nhật ký mua hàng</t>
  </si>
  <si>
    <t>So với các phiếu đã duyệt trong tháng.</t>
  </si>
  <si>
    <t>Đủ phiếu, đúng số.</t>
  </si>
  <si>
    <t>Cần kế toán xác nhận mẫu sổ</t>
  </si>
  <si>
    <t>BC-04</t>
  </si>
  <si>
    <t>ACC64</t>
  </si>
  <si>
    <t>Báo cáo thuế vào</t>
  </si>
  <si>
    <t>Lọc tháng 10.</t>
  </si>
  <si>
    <t>Chỉ phiếu có hoá đơn; đúng thuế suất, đúng tiền thuế.</t>
  </si>
  <si>
    <t>Cần kế toán xác nhận mẫu báo cáo</t>
  </si>
  <si>
    <t>BC-05</t>
  </si>
  <si>
    <t>ACC38</t>
  </si>
  <si>
    <t>Công nợ phát sinh</t>
  </si>
  <si>
    <t>Xem công nợ 331 của Trung Hậu.</t>
  </si>
  <si>
    <t>Khớp phiếu nhập, trả, ứng trước, CK.</t>
  </si>
  <si>
    <t>BC-06</t>
  </si>
  <si>
    <t>ACC83</t>
  </si>
  <si>
    <t>Nhập xuất tồn hàng hoá</t>
  </si>
  <si>
    <t>Xem theo ngành → nhóm → mã.</t>
  </si>
  <si>
    <t>Tồn khớp phiếu; có quà và lô.</t>
  </si>
  <si>
    <t>BC-07</t>
  </si>
  <si>
    <t>BC</t>
  </si>
  <si>
    <t>Xuất Excel báo cáo</t>
  </si>
  <si>
    <t>Xuất Excel từng báo cáo trên.</t>
  </si>
  <si>
    <t>Mở được, số khớp màn hình, tiếng Việt không lỗi.</t>
  </si>
  <si>
    <t>KB-01</t>
  </si>
  <si>
    <t>25 tình huống (chạy trọn)</t>
  </si>
  <si>
    <t>TH1 — CK thẳng 7%, hạn 10 ngày làm việc</t>
  </si>
  <si>
    <t>Làm lại TH1 từ đầu đến cuối trên bản UAT đúng như tài liệu kế toán gửi (lập danh mục, chính sách, phiếu, duyệt), đối chiếu con số.</t>
  </si>
  <si>
    <t>Công nợ 39.082.320, hạn 15/10; ghi 1561 / 1331 / 331</t>
  </si>
  <si>
    <t>KB-02</t>
  </si>
  <si>
    <t>TH2 — CK tiền 2 triệu + quà 5 thùng không HĐ</t>
  </si>
  <si>
    <t>Làm lại TH2 từ đầu đến cuối trên bản UAT đúng như tài liệu kế toán gửi (lập danh mục, chính sách, phiếu, duyệt), đối chiếu con số.</t>
  </si>
  <si>
    <t>48.860.000; quà chứng từ riêng, Có 711</t>
  </si>
  <si>
    <t>KB-03</t>
  </si>
  <si>
    <t>TH3 — Hạn mức 600 triệu</t>
  </si>
  <si>
    <t>Làm lại TH3 từ đầu đến cuối trên bản UAT đúng như tài liệu kế toán gửi (lập danh mục, chính sách, phiếu, duyệt), đối chiếu con số.</t>
  </si>
  <si>
    <t>Nhập 117.450.000 còn 32.550.000; đặt thêm 40 triệu vượt 7.450.000 → chặn</t>
  </si>
  <si>
    <t>TH3</t>
  </si>
  <si>
    <t>|TH3|</t>
  </si>
  <si>
    <t>KB-04</t>
  </si>
  <si>
    <t>TH4 — CK 7% + CKTT 2%</t>
  </si>
  <si>
    <t>Làm lại TH4 từ đầu đến cuối trên bản UAT đúng như tài liệu kế toán gửi (lập danh mục, chính sách, phiếu, duyệt), đối chiếu con số.</t>
  </si>
  <si>
    <t>Công nợ 39.082.320; trả đúng hạn CKTT 781.646; quá hạn không</t>
  </si>
  <si>
    <t>KB-05</t>
  </si>
  <si>
    <t>TH5 — Ứng trước 100% theo đơn DH005</t>
  </si>
  <si>
    <t>Làm lại TH5 từ đầu đến cuối trên bản UAT đúng như tài liệu kế toán gửi (lập danh mục, chính sách, phiếu, duyệt), đối chiếu con số.</t>
  </si>
  <si>
    <t>HĐ 3185 tự đối trừ; đối chiếu 3 bên khớp</t>
  </si>
  <si>
    <t>KB-06</t>
  </si>
  <si>
    <t>TH6 — Bán hàng có CK từng dòng (phía bán)</t>
  </si>
  <si>
    <t>Làm lại TH6 từ đầu đến cuối trên bản UAT đúng như tài liệu kế toán gửi (lập danh mục, chính sách, phiếu, duyệt), đối chiếu con số.</t>
  </si>
  <si>
    <t>Phải thu 35.700.000</t>
  </si>
  <si>
    <t>TH6</t>
  </si>
  <si>
    <t>Phân hệ Bán hàng chưa làm — hiện chỉ kiểm công thức</t>
  </si>
  <si>
    <t>|TH6|</t>
  </si>
  <si>
    <t>KB-07</t>
  </si>
  <si>
    <t>TH7 — Bậc CK số lượng (phía bán)</t>
  </si>
  <si>
    <t>Làm lại TH7 từ đầu đến cuối trên bản UAT đúng như tài liệu kế toán gửi (lập danh mục, chính sách, phiếu, duyệt), đối chiếu con số.</t>
  </si>
  <si>
    <t>150 lon được 5%, không áp nhầm 7%</t>
  </si>
  <si>
    <t>TH7</t>
  </si>
  <si>
    <t>|TH7|</t>
  </si>
  <si>
    <t>KB-08</t>
  </si>
  <si>
    <t>TH8 — Thưởng doanh số tháng</t>
  </si>
  <si>
    <t>Làm lại TH8 từ đầu đến cuối trên bản UAT đúng như tài liệu kế toán gửi (lập danh mục, chính sách, phiếu, duyệt), đối chiếu con số.</t>
  </si>
  <si>
    <t>9.000.000 + VAT 720.000 = giảm nợ 9.720.000</t>
  </si>
  <si>
    <t>KB-09</t>
  </si>
  <si>
    <t>TH9 — CK + tặng hàng (phía bán)</t>
  </si>
  <si>
    <t>Làm lại TH9 từ đầu đến cuối trên bản UAT đúng như tài liệu kế toán gửi (lập danh mục, chính sách, phiếu, duyệt), đối chiếu con số.</t>
  </si>
  <si>
    <t>Theo tài liệu</t>
  </si>
  <si>
    <t>TH9</t>
  </si>
  <si>
    <t>|TH9|</t>
  </si>
  <si>
    <t>KB-10</t>
  </si>
  <si>
    <t>TH10 — Đặt hàng có CK (phía bán)</t>
  </si>
  <si>
    <t>Làm lại TH10 từ đầu đến cuối trên bản UAT đúng như tài liệu kế toán gửi (lập danh mục, chính sách, phiếu, duyệt), đối chiếu con số.</t>
  </si>
  <si>
    <t>TH10</t>
  </si>
  <si>
    <t>|TH10|</t>
  </si>
  <si>
    <t>KB-11</t>
  </si>
  <si>
    <t>TH11 — Một HĐ trả 3 đợt</t>
  </si>
  <si>
    <t>Làm lại TH11 từ đầu đến cuối trên bản UAT đúng như tài liệu kế toán gửi (lập danh mục, chính sách, phiếu, duyệt), đối chiếu con số.</t>
  </si>
  <si>
    <t>30 / 40 / 38 triệu; trạng thái từng đợt đúng</t>
  </si>
  <si>
    <t>KB-12</t>
  </si>
  <si>
    <t>TH12 — Nợ cũ 480 + 108 triệu</t>
  </si>
  <si>
    <t>Làm lại TH12 từ đầu đến cuối trên bản UAT đúng như tài liệu kế toán gửi (lập danh mục, chính sách, phiếu, duyệt), đối chiếu con số.</t>
  </si>
  <si>
    <t>588 triệu, còn 12 triệu → duyệt bình thường</t>
  </si>
  <si>
    <t>TH12</t>
  </si>
  <si>
    <t>|TH12|</t>
  </si>
  <si>
    <t>KB-13</t>
  </si>
  <si>
    <t>TH13 — Nợ 550 + 108 triệu</t>
  </si>
  <si>
    <t>Làm lại TH13 từ đầu đến cuối trên bản UAT đúng như tài liệu kế toán gửi (lập danh mục, chính sách, phiếu, duyệt), đối chiếu con số.</t>
  </si>
  <si>
    <t>Vượt 58 triệu → chặn; trả bớt hoặc duyệt ngoại lệ</t>
  </si>
  <si>
    <t>TH13</t>
  </si>
  <si>
    <t>|TH13|</t>
  </si>
  <si>
    <t>KB-14</t>
  </si>
  <si>
    <t>TH14 — KM người bán / người tiêu dùng</t>
  </si>
  <si>
    <t>Làm lại TH14 từ đầu đến cuối trên bản UAT đúng như tài liệu kế toán gửi (lập danh mục, chính sách, phiếu, duyệt), đối chiếu con số.</t>
  </si>
  <si>
    <t>KM người bán 120 chia giá; KM NTD 240 không chia</t>
  </si>
  <si>
    <t>KB-15</t>
  </si>
  <si>
    <t>TH15 — Chỉ tiêu nhãn 110%</t>
  </si>
  <si>
    <t>Làm lại TH15 từ đầu đến cuối trên bản UAT đúng như tài liệu kế toán gửi (lập danh mục, chính sách, phiếu, duyệt), đối chiếu con số.</t>
  </si>
  <si>
    <t>Thưởng 3% = 16.500.000</t>
  </si>
  <si>
    <t>KB-16</t>
  </si>
  <si>
    <t>TH16 — Thưởng theo giai đoạn</t>
  </si>
  <si>
    <t>Làm lại TH16 từ đầu đến cuối trên bản UAT đúng như tài liệu kế toán gửi (lập danh mục, chính sách, phiếu, duyệt), đối chiếu con số.</t>
  </si>
  <si>
    <t>Mỗi giai đoạn tính riêng, không trùng</t>
  </si>
  <si>
    <t>KB-17</t>
  </si>
  <si>
    <t>TH17 — Hạn mức nhãn 2 tỷ chia chi nhánh</t>
  </si>
  <si>
    <t>Làm lại TH17 từ đầu đến cuối trên bản UAT đúng như tài liệu kế toán gửi (lập danh mục, chính sách, phiếu, duyệt), đối chiếu con số.</t>
  </si>
  <si>
    <t>ND 500 · PT 600 · HCM 400 · chưa phân bổ 500; điều chuyển có vết</t>
  </si>
  <si>
    <t>KB-18</t>
  </si>
  <si>
    <t>TH18 — Hạn theo ngày làm việc + tuổi nợ</t>
  </si>
  <si>
    <t>Làm lại TH18 từ đầu đến cuối trên bản UAT đúng như tài liệu kế toán gửi (lập danh mục, chính sách, phiếu, duyệt), đối chiếu con số.</t>
  </si>
  <si>
    <t>Trừ ngày lễ; 6 nhóm tuổi nợ; cảnh báo nợ quá hạn</t>
  </si>
  <si>
    <t>KB-19</t>
  </si>
  <si>
    <t>TH19 — Lô &amp; hạn dùng</t>
  </si>
  <si>
    <t>Làm lại TH19 từ đầu đến cuối trên bản UAT đúng như tài liệu kế toán gửi (lập danh mục, chính sách, phiếu, duyệt), đối chiếu con số.</t>
  </si>
  <si>
    <t>Lô A 15/11, B 30/11; cảnh báo cận date</t>
  </si>
  <si>
    <t>KB-20</t>
  </si>
  <si>
    <t>TH20 — Quà tặng nhiều nguồn</t>
  </si>
  <si>
    <t>Làm lại TH20 từ đầu đến cuối trên bản UAT đúng như tài liệu kế toán gửi (lập danh mục, chính sách, phiếu, duyệt), đối chiếu con số.</t>
  </si>
  <si>
    <t>NCC tặng 100, mua 50 có VAT + 30 không VAT; xuất vượt chặn</t>
  </si>
  <si>
    <t>KB-21</t>
  </si>
  <si>
    <t>TH21 — Phân bổ cước 10 triệu</t>
  </si>
  <si>
    <t>Làm lại TH21 từ đầu đến cuối trên bản UAT đúng như tài liệu kế toán gửi (lập danh mục, chính sách, phiếu, duyệt), đối chiếu con số.</t>
  </si>
  <si>
    <t>4,8 / 3,2 / 2 triệu; 489.600 / lon</t>
  </si>
  <si>
    <t>KB-22</t>
  </si>
  <si>
    <t>TH22 — Phân bổ thưởng theo mã</t>
  </si>
  <si>
    <t>Làm lại TH22 từ đầu đến cuối trên bản UAT đúng như tài liệu kế toán gửi (lập danh mục, chính sách, phiếu, duyệt), đối chiếu con số.</t>
  </si>
  <si>
    <t>Giảm giá vốn từng mã, tổng khớp</t>
  </si>
  <si>
    <t>TH22</t>
  </si>
  <si>
    <t>|TH22|</t>
  </si>
  <si>
    <t>KB-23</t>
  </si>
  <si>
    <t>TH23 — Trả / đổi hàng</t>
  </si>
  <si>
    <t>Làm lại TH23 từ đầu đến cuối trên bản UAT đúng như tài liệu kế toán gửi (lập danh mục, chính sách, phiếu, duyệt), đối chiếu con số.</t>
  </si>
  <si>
    <t>Đổi cùng mã chênh 0; khác mã trả thêm 1.080.000; trả quá bị chặn</t>
  </si>
  <si>
    <t>KB-24</t>
  </si>
  <si>
    <t>TH24 — Tổng hợp theo ngành / nhóm / mã</t>
  </si>
  <si>
    <t>Làm lại TH24 từ đầu đến cuối trên bản UAT đúng như tài liệu kế toán gửi (lập danh mục, chính sách, phiếu, duyệt), đối chiếu con số.</t>
  </si>
  <si>
    <t>Kèm công nợ còn lại theo mã</t>
  </si>
  <si>
    <t>KB-25</t>
  </si>
  <si>
    <t>TH25 — Giá thực tế sau mọi điều chỉnh</t>
  </si>
  <si>
    <t>Làm lại TH25 từ đầu đến cuối trên bản UAT đúng như tài liệu kế toán gửi (lập danh mục, chính sách, phiếu, duyệt), đối chiếu con số.</t>
  </si>
  <si>
    <t>Giá từng dòng = sau CK − quà + chi phí − thưởng</t>
  </si>
  <si>
    <t>VD-01</t>
  </si>
  <si>
    <t>Ví dụ bổ sung VD1–VD8</t>
  </si>
  <si>
    <t>VD1 — Nhập file Excel của NCC</t>
  </si>
  <si>
    <t>Nhập dòng hàng từ file "VD1. Vinh Châu.xlsx".</t>
  </si>
  <si>
    <t>Đủ dòng, đúng mã, ĐVT, giá, thuế.</t>
  </si>
  <si>
    <t>Chờ file Excel thật</t>
  </si>
  <si>
    <t>VD-02</t>
  </si>
  <si>
    <t>VD2 — Nhiều thuế suất, bậc SL</t>
  </si>
  <si>
    <t>Nhập theo đơn, 2 mức thuế 8% / 10%, khăn ướt 200 gói.</t>
  </si>
  <si>
    <t>Tự hưởng bậc 5%, hạn 15 ngày làm việc, ghi sổ được.</t>
  </si>
  <si>
    <t>VD-03</t>
  </si>
  <si>
    <t>VD3 — Chi phí bốc xếp theo SL</t>
  </si>
  <si>
    <t>Phân bổ chi phí bốc xếp theo số lượng.</t>
  </si>
  <si>
    <t>Duyệt được, phân bổ đúng.</t>
  </si>
  <si>
    <t>VD3</t>
  </si>
  <si>
    <t>|VD3|</t>
  </si>
  <si>
    <t>VD-04</t>
  </si>
  <si>
    <t>VD4 — Giá cao hơn giá cố định</t>
  </si>
  <si>
    <t>Nhập giá / Hộp cao hơn giá cố định 3,9%.</t>
  </si>
  <si>
    <t>Cảnh báo, không chặn.</t>
  </si>
  <si>
    <t>VD-05</t>
  </si>
  <si>
    <t>VD5 — CK sau mua có HĐ điều chỉnh</t>
  </si>
  <si>
    <t>Lập CK sau mua.</t>
  </si>
  <si>
    <t>Duyệt được, giảm nợ đúng.</t>
  </si>
  <si>
    <t>VD5</t>
  </si>
  <si>
    <t>|VD5|</t>
  </si>
  <si>
    <t>VD-06</t>
  </si>
  <si>
    <t>VD6 — Trả một phần</t>
  </si>
  <si>
    <t>Trả 1 phần phiếu nhập.</t>
  </si>
  <si>
    <t>Duyệt được, tồn và nợ giảm đúng.</t>
  </si>
  <si>
    <t>VD6</t>
  </si>
  <si>
    <t>|VD6|</t>
  </si>
  <si>
    <t>VD-07</t>
  </si>
  <si>
    <t>VD7 — Lô còn 19 ngày</t>
  </si>
  <si>
    <t>Nhập lô hạn còn 19 ngày.</t>
  </si>
  <si>
    <t>Cảnh báo cận date.</t>
  </si>
  <si>
    <t>VD7</t>
  </si>
  <si>
    <t>|VD7|</t>
  </si>
  <si>
    <t>VD-08</t>
  </si>
  <si>
    <t>VD8 — Bậc 3%</t>
  </si>
  <si>
    <t>Nhập SL rơi vào bậc 3%.</t>
  </si>
  <si>
    <t>Áp đúng 3%.</t>
  </si>
  <si>
    <t>VD8</t>
  </si>
  <si>
    <t>|VD8|</t>
  </si>
  <si>
    <t>KT-01</t>
  </si>
  <si>
    <t>Đối chiếu kế toán (chờ kế toán mới)</t>
  </si>
  <si>
    <t>Kế toán</t>
  </si>
  <si>
    <t>Chốt định khoản mặc định</t>
  </si>
  <si>
    <t>Rà bảng hạch toán từng nghiệp vụ (nhập, quà 711, CKTT 515, thưởng, phân bổ) với phòng kế toán công ty tổng.</t>
  </si>
  <si>
    <t>Có biên bản chốt; phần mềm khớp biên bản.</t>
  </si>
  <si>
    <t>Chờ kế toán mới (cầu nối với phòng kế toán tổng)</t>
  </si>
  <si>
    <t>KT-02</t>
  </si>
  <si>
    <t>Chốt cách ghi quà không hoá đơn</t>
  </si>
  <si>
    <t>Thống nhất ghi theo giá trị hợp lý hay ghi 0.</t>
  </si>
  <si>
    <t>Cài đặt đúng theo quyết định.</t>
  </si>
  <si>
    <t>Chờ kế toán mới</t>
  </si>
  <si>
    <t>KT-03</t>
  </si>
  <si>
    <t>Chốt mẫu sổ / báo cáo thuế</t>
  </si>
  <si>
    <t>Xem mẫu ACC77, ACC64, ACC38 có đúng mẫu phòng kế toán dùng.</t>
  </si>
  <si>
    <t>Mẫu được chấp nhận hoặc có danh sách sửa.</t>
  </si>
  <si>
    <t>KT-04</t>
  </si>
  <si>
    <t>Đối chiếu số dư NCC thật</t>
  </si>
  <si>
    <t>Chọn 1–2 NCC thật, đưa số dư đầu kỳ, nhập phiếu 1 tháng, so công nợ với sổ đang dùng.</t>
  </si>
  <si>
    <t>Công nợ khớp đến đồng.</t>
  </si>
  <si>
    <t>Chờ kế toán mới + dữ liệu thật</t>
  </si>
  <si>
    <t>KT-05</t>
  </si>
  <si>
    <t>Kế toán tự dùng thử luồng thật</t>
  </si>
  <si>
    <t>Kế toán tự lập phiếu một ngày làm việc thật (không có người hướng dẫn bên cạnh).</t>
  </si>
  <si>
    <t>Làm được hết; ghi lại chỗ khó hiểu.</t>
  </si>
  <si>
    <t>KT-06</t>
  </si>
  <si>
    <t>Chạy song song chi nhánh đợt 1</t>
  </si>
  <si>
    <t>Chạy song song dữ liệu thật của các shop đợt 1 trong 1 tuần.</t>
  </si>
  <si>
    <t>Số liệu 2 bên khớp; danh sách chênh lệch được giải thích.</t>
  </si>
  <si>
    <t>Chờ kế toán mới + lịch triển khai chi nhánh</t>
  </si>
  <si>
    <t>Tổng giờ</t>
  </si>
  <si>
    <t>25 TÌNH HUỐNG KẾ TOÁN GỬI — ĐÃ ỔN CHƯA?</t>
  </si>
  <si>
    <t>Tự tính từ sheet "Danh sách test": một tình huống chỉ "Đạt" khi mọi mục test có gắn tình huống đó đều Đạt (kể cả mục chức năng lẻ).</t>
  </si>
  <si>
    <t>Tình huống</t>
  </si>
  <si>
    <t>Nội dung</t>
  </si>
  <si>
    <t>Con số / kết quả phải ra</t>
  </si>
  <si>
    <t>Máy tự kiểm</t>
  </si>
  <si>
    <t>Số mục test</t>
  </si>
  <si>
    <t>Đạt</t>
  </si>
  <si>
    <t>Lỗi</t>
  </si>
  <si>
    <t>Đang chờ</t>
  </si>
  <si>
    <t>Ghi chú</t>
  </si>
  <si>
    <t>CK thẳng 7%, hạn 10 ngày làm việc</t>
  </si>
  <si>
    <t>Đạt 26/10</t>
  </si>
  <si>
    <t>CK tiền 2 triệu + quà 5 thùng không HĐ</t>
  </si>
  <si>
    <t>Hạn mức 600 triệu</t>
  </si>
  <si>
    <t>CK 7% + CKTT 2%</t>
  </si>
  <si>
    <t>Ứng trước 100% theo đơn DH005</t>
  </si>
  <si>
    <t>Bán hàng có CK từng dòng (phía bán)</t>
  </si>
  <si>
    <t>Đạt công thức</t>
  </si>
  <si>
    <t>Bậc CK số lượng (phía bán)</t>
  </si>
  <si>
    <t>CK + tặng hàng (phía bán)</t>
  </si>
  <si>
    <t>Đặt hàng có CK (phía bán)</t>
  </si>
  <si>
    <t>Một HĐ trả 3 đợt</t>
  </si>
  <si>
    <t>Nợ cũ 480 + 108 triệu</t>
  </si>
  <si>
    <t>Nợ 550 + 108 triệu</t>
  </si>
  <si>
    <t>KM người bán / người tiêu dùng</t>
  </si>
  <si>
    <t>Chỉ tiêu nhãn 110%</t>
  </si>
  <si>
    <t>Hạn mức nhãn 2 tỷ chia chi nhánh</t>
  </si>
  <si>
    <t>Hạn theo ngày làm việc + tuổi nợ</t>
  </si>
  <si>
    <t>Lô &amp; hạn dùng</t>
  </si>
  <si>
    <t>Quà tặng nhiều nguồn</t>
  </si>
  <si>
    <t>Phân bổ cước 10 triệu</t>
  </si>
  <si>
    <t>Trả / đổi hàng</t>
  </si>
  <si>
    <t>Tổng hợp theo ngành / nhóm / mã</t>
  </si>
  <si>
    <t>Giá thực tế sau mọi điều chỉnh</t>
  </si>
  <si>
    <t>Nhập file Excel của NCC</t>
  </si>
  <si>
    <t>Đủ dòng, đúng mã, ĐVT, giá, thuế</t>
  </si>
  <si>
    <t>Chưa có (cần file)</t>
  </si>
  <si>
    <t>Nhiều thuế suất, bậc SL</t>
  </si>
  <si>
    <t>Bậc 5%, hạn 15 ngày làm việc</t>
  </si>
  <si>
    <t>Chi phí bốc xếp theo SL</t>
  </si>
  <si>
    <t>Phân bổ đúng</t>
  </si>
  <si>
    <t>Giá cao hơn giá cố định</t>
  </si>
  <si>
    <t>Cảnh báo 3,9%, không chặn</t>
  </si>
  <si>
    <t>Giảm nợ đúng</t>
  </si>
  <si>
    <t>Trả một phần</t>
  </si>
  <si>
    <t>Tồn, nợ giảm đúng</t>
  </si>
  <si>
    <t>Lô còn 19 ngày</t>
  </si>
  <si>
    <t>Cảnh báo cận date</t>
  </si>
  <si>
    <t>Bậc 3%</t>
  </si>
  <si>
    <t>Áp đúng 3%</t>
  </si>
  <si>
    <t>25 tình huống đã Đạt</t>
  </si>
  <si>
    <t>Ví dụ VD1–VD8 đã Đạt</t>
  </si>
  <si>
    <t>TIẾN ĐỘ TEST — SỐ LIỆU BÁO CÁO</t>
  </si>
  <si>
    <t>Tự tính, không sửa tay. Copy bảng này khi báo cáo cuối ngày / cuối tuần.</t>
  </si>
  <si>
    <t>Số mục</t>
  </si>
  <si>
    <t>Lỗi / chờ sửa</t>
  </si>
  <si>
    <t>Đang test</t>
  </si>
  <si>
    <t>% mục đạt</t>
  </si>
  <si>
    <t>Giờ còn lại</t>
  </si>
  <si>
    <t>TỔNG</t>
  </si>
  <si>
    <t>Câu trả lời nhanh cho sếp</t>
  </si>
  <si>
    <t>25 tình huống kế toán gửi đã Đạt</t>
  </si>
  <si>
    <t>Số mục test đã Đạt / tổng</t>
  </si>
  <si>
    <t>Số mục đang lỗi / chờ sửa</t>
  </si>
  <si>
    <t>Số mục đang chờ người / dữ liệu</t>
  </si>
  <si>
    <t>Ước tính thời gian (1 tester)</t>
  </si>
  <si>
    <t>Giờ test vòng 1 — làm được ngay</t>
  </si>
  <si>
    <t>Giờ test lại sau sửa lỗi</t>
  </si>
  <si>
    <t>Giờ các mục đang chờ (kế toán mới, file thật)</t>
  </si>
  <si>
    <t>Số ngày làm việc — phần làm được ngay (vòng 1 + test lại)</t>
  </si>
  <si>
    <t>Ngày dự kiến xong phần làm được ngay</t>
  </si>
  <si>
    <t>Số ngày thêm cho phần đang chờ (tính từ lúc có người / dữ liệu)</t>
  </si>
  <si>
    <t>Tổng số ngày làm việc nếu không phải chờ</t>
  </si>
  <si>
    <t>Tổng số tuần (5 ngày / tuần)</t>
  </si>
  <si>
    <t>• Giả định: 1 tester đã được hướng dẫn qua phần mềm; số giờ mỗi ngày và tỷ lệ test lại sửa ở sheet Hướng dẫn.</t>
  </si>
  <si>
    <t>• Chưa tính thời gian dev sửa lỗi (phụ thuộc số lỗi tìm ra) — thường song song với test, nhưng lỗi lớn có thể làm chậm 1–2 ngày.</t>
  </si>
  <si>
    <t>• Phần "Đối chiếu kế toán" không bắt đầu được tới khi có kế toán mới làm cầu nối với phòng kế toán công ty tổng.</t>
  </si>
  <si>
    <t>• Phía bán (TH6, 7, 9, 10) hiện chỉ kiểm công thức; test thật khi làm phân hệ Bán hàng.</t>
  </si>
  <si>
    <t>VIỆC ĐANG CHỜ — CHƯA TEST ĐƯỢC</t>
  </si>
  <si>
    <t>Tự lấy các mục có "Đang chờ? = Có" ở sheet Danh sách test. Khi đã có người / dữ liệu: đổi ô đó thành "Không", mục tự xếp ngày.</t>
  </si>
  <si>
    <t>Đang chờ gì</t>
  </si>
  <si>
    <t>Ghi chú: các mục "Cần kế toán xác nhận" vẫn test được ngay (giao diện, con số); kế toán chỉ xác nhận định khoản / mẫu sau.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</si>
</sst>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/mm/yyyy"/>
    <numFmt numFmtId="166" formatCode="0.0"/>
    <numFmt numFmtId="167" formatCode="0.0&quot; giờ&quot;"/>
    <numFmt numFmtId="168" formatCode="0&quot; ngày&quot;"/>
    <numFmt numFmtId="169" formatCode="0.0&quot; tuần&quot;"/>
  </numFmts>
  <fonts count="13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10"/>
      <color rgb="FF595959"/>
      <name val="Arial"/>
    </font>
    <font>
      <b/>
      <sz val="11"/>
      <color rgb="FF1F4E78"/>
      <name val="Arial"/>
    </font>
    <font>
      <b/>
      <sz val="13"/>
      <color rgb="FF1F4E78"/>
      <name val="Arial"/>
    </font>
    <font>
      <b/>
      <sz val="10"/>
      <color rgb="FFFFFFFF"/>
      <name val="Arial"/>
    </font>
    <font>
      <sz val="10"/>
      <color rgb="FF808080"/>
      <name val="Arial"/>
    </font>
    <font>
      <i/>
      <sz val="10"/>
      <color rgb="FF808080"/>
      <name val="Arial"/>
    </font>
    <font>
      <b/>
      <sz val="12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5" fillId="2" borderId="1" xfId="0" applyNumberFormat="1" applyFont="1" applyFill="1" applyBorder="1"/>
    <xf numFmtId="0" fontId="6" fillId="0" borderId="0" xfId="0" applyFont="1"/>
    <xf numFmtId="166" fontId="5" fillId="2" borderId="1" xfId="0" applyNumberFormat="1" applyFont="1" applyFill="1" applyBorder="1"/>
    <xf numFmtId="9" fontId="5" fillId="2" borderId="1" xfId="0" applyNumberFormat="1" applyFont="1" applyFill="1" applyBorder="1"/>
    <xf numFmtId="0" fontId="7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2" fontId="5" fillId="0" borderId="1" xfId="0" applyNumberFormat="1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165" fontId="4" fillId="2" borderId="1" xfId="0" applyNumberFormat="1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0" fillId="0" borderId="0" xfId="0" applyFont="1"/>
    <xf numFmtId="2" fontId="3" fillId="0" borderId="0" xfId="0" applyNumberFormat="1" applyFont="1"/>
    <xf numFmtId="0" fontId="0" fillId="2" borderId="1" xfId="0" applyFill="1" applyBorder="1"/>
    <xf numFmtId="0" fontId="3" fillId="0" borderId="2" xfId="0" applyFont="1" applyBorder="1" applyAlignment="1">
      <alignment vertical="top" wrapText="1"/>
    </xf>
    <xf numFmtId="0" fontId="12" fillId="0" borderId="0" xfId="0" applyFont="1"/>
    <xf numFmtId="166" fontId="4" fillId="0" borderId="1" xfId="0" applyNumberFormat="1" applyFont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166" fontId="3" fillId="4" borderId="1" xfId="0" applyNumberFormat="1" applyFont="1" applyFill="1" applyBorder="1" applyAlignment="1">
      <alignment horizontal="center" vertical="top" wrapText="1"/>
    </xf>
    <xf numFmtId="9" fontId="3" fillId="4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49" fontId="3" fillId="0" borderId="0" xfId="0" applyNumberFormat="1" applyFont="1"/>
    <xf numFmtId="168" fontId="3" fillId="0" borderId="0" xfId="0" applyNumberFormat="1" applyFont="1"/>
    <xf numFmtId="167" fontId="3" fillId="0" borderId="0" xfId="0" applyNumberFormat="1" applyFont="1"/>
    <xf numFmtId="169" fontId="3" fillId="0" borderId="0" xfId="0" applyNumberFormat="1" applyFont="1"/>
    <xf numFmtId="0" fontId="6" fillId="0" borderId="0" xfId="0" applyFont="1"/>
    <xf numFmtId="1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10"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tabSelected="1" workbookViewId="0"/>
  </sheetViews>
  <sheetFormatPr defaultRowHeight="14.4" x14ac:dyDescent="0.3"/>
  <cols>
    <col min="1" max="1" width="3" customWidth="1"/>
    <col min="2" max="2" width="38" customWidth="1"/>
    <col min="3" max="3" width="18" customWidth="1"/>
    <col min="4" max="4" width="70" customWidth="1"/>
  </cols>
  <sheetData>
    <row r="2" spans="2:4" ht="17.399999999999999" x14ac:dyDescent="0.3">
      <c r="B2" s="1" t="s">
        <v>0</v>
      </c>
    </row>
    <row r="3" spans="2:4" x14ac:dyDescent="0.3">
      <c r="B3" s="2" t="s">
        <v>1</v>
      </c>
    </row>
    <row r="5" spans="2:4" x14ac:dyDescent="0.3">
      <c r="B5" s="3" t="s">
        <v>2</v>
      </c>
    </row>
    <row r="6" spans="2:4" x14ac:dyDescent="0.3">
      <c r="B6" s="4" t="s">
        <v>3</v>
      </c>
      <c r="C6" s="5">
        <v>46322</v>
      </c>
      <c r="D6" s="6" t="s">
        <v>4</v>
      </c>
    </row>
    <row r="7" spans="2:4" x14ac:dyDescent="0.3">
      <c r="B7" s="4" t="s">
        <v>5</v>
      </c>
      <c r="C7" s="7">
        <v>6</v>
      </c>
      <c r="D7" s="6" t="s">
        <v>6</v>
      </c>
    </row>
    <row r="8" spans="2:4" x14ac:dyDescent="0.3">
      <c r="B8" s="4" t="s">
        <v>7</v>
      </c>
      <c r="C8" s="8">
        <v>0.3</v>
      </c>
      <c r="D8" s="6" t="s">
        <v>8</v>
      </c>
    </row>
    <row r="11" spans="2:4" ht="16.05" customHeight="1" x14ac:dyDescent="0.3">
      <c r="B11" s="9" t="s">
        <v>9</v>
      </c>
      <c r="C11" s="31"/>
      <c r="D11" s="32"/>
    </row>
    <row r="12" spans="2:4" ht="30" customHeight="1" x14ac:dyDescent="0.3">
      <c r="B12" s="4" t="s">
        <v>10</v>
      </c>
      <c r="C12" s="31" t="s">
        <v>11</v>
      </c>
      <c r="D12" s="32"/>
    </row>
    <row r="13" spans="2:4" ht="30" customHeight="1" x14ac:dyDescent="0.3">
      <c r="B13" s="4" t="s">
        <v>12</v>
      </c>
      <c r="C13" s="31" t="s">
        <v>13</v>
      </c>
      <c r="D13" s="32"/>
    </row>
    <row r="14" spans="2:4" ht="30" customHeight="1" x14ac:dyDescent="0.3">
      <c r="B14" s="4" t="s">
        <v>14</v>
      </c>
      <c r="C14" s="31" t="s">
        <v>15</v>
      </c>
      <c r="D14" s="32"/>
    </row>
    <row r="15" spans="2:4" ht="30" customHeight="1" x14ac:dyDescent="0.3">
      <c r="B15" s="4" t="s">
        <v>16</v>
      </c>
      <c r="C15" s="31" t="s">
        <v>17</v>
      </c>
      <c r="D15" s="32"/>
    </row>
    <row r="16" spans="2:4" ht="30" customHeight="1" x14ac:dyDescent="0.3">
      <c r="B16" s="4" t="s">
        <v>18</v>
      </c>
      <c r="C16" s="31" t="s">
        <v>19</v>
      </c>
      <c r="D16" s="32"/>
    </row>
    <row r="17" spans="2:4" ht="30" customHeight="1" x14ac:dyDescent="0.3">
      <c r="B17" s="4" t="s">
        <v>20</v>
      </c>
      <c r="C17" s="31" t="s">
        <v>21</v>
      </c>
      <c r="D17" s="32"/>
    </row>
    <row r="18" spans="2:4" ht="16.05" customHeight="1" x14ac:dyDescent="0.3">
      <c r="B18" s="4"/>
      <c r="C18" s="31"/>
      <c r="D18" s="32"/>
    </row>
    <row r="19" spans="2:4" ht="16.05" customHeight="1" x14ac:dyDescent="0.3">
      <c r="B19" s="3" t="s">
        <v>22</v>
      </c>
      <c r="C19" s="31" t="s">
        <v>23</v>
      </c>
      <c r="D19" s="32"/>
    </row>
    <row r="20" spans="2:4" ht="30" customHeight="1" x14ac:dyDescent="0.3">
      <c r="B20" s="3" t="s">
        <v>24</v>
      </c>
      <c r="C20" s="31" t="s">
        <v>25</v>
      </c>
      <c r="D20" s="32"/>
    </row>
    <row r="21" spans="2:4" ht="30" customHeight="1" x14ac:dyDescent="0.3">
      <c r="B21" s="3" t="s">
        <v>26</v>
      </c>
      <c r="C21" s="31" t="s">
        <v>27</v>
      </c>
      <c r="D21" s="32"/>
    </row>
  </sheetData>
  <mergeCells count="11">
    <mergeCell ref="C11:D11"/>
    <mergeCell ref="C19:D19"/>
    <mergeCell ref="C14:D14"/>
    <mergeCell ref="C13:D13"/>
    <mergeCell ref="C18:D18"/>
    <mergeCell ref="C17:D17"/>
    <mergeCell ref="C20:D20"/>
    <mergeCell ref="C12:D12"/>
    <mergeCell ref="C21:D21"/>
    <mergeCell ref="C16:D16"/>
    <mergeCell ref="C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S129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20" customWidth="1"/>
    <col min="3" max="3" width="9" customWidth="1"/>
    <col min="4" max="4" width="26" customWidth="1"/>
    <col min="5" max="5" width="46" customWidth="1"/>
    <col min="6" max="6" width="42" customWidth="1"/>
    <col min="7" max="7" width="13" customWidth="1"/>
    <col min="8" max="8" width="8" customWidth="1"/>
    <col min="9" max="9" width="9" customWidth="1"/>
    <col min="10" max="10" width="24" customWidth="1"/>
    <col min="11" max="11" width="9" customWidth="1"/>
    <col min="12" max="12" width="8" customWidth="1"/>
    <col min="13" max="13" width="12" customWidth="1"/>
    <col min="14" max="14" width="13" customWidth="1"/>
    <col min="15" max="15" width="12" customWidth="1"/>
    <col min="16" max="16" width="16" customWidth="1"/>
    <col min="17" max="17" width="40" customWidth="1"/>
    <col min="18" max="18" width="4" hidden="1" customWidth="1"/>
    <col min="19" max="19" width="13" hidden="1" customWidth="1"/>
  </cols>
  <sheetData>
    <row r="1" spans="1:19" ht="16.8" x14ac:dyDescent="0.3">
      <c r="A1" s="11" t="s">
        <v>28</v>
      </c>
    </row>
    <row r="2" spans="1:19" x14ac:dyDescent="0.3">
      <c r="A2" s="6" t="s">
        <v>29</v>
      </c>
    </row>
    <row r="4" spans="1:19" ht="30" customHeight="1" x14ac:dyDescent="0.3">
      <c r="A4" s="12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2" t="s">
        <v>22</v>
      </c>
      <c r="I4" s="12" t="s">
        <v>37</v>
      </c>
      <c r="J4" s="12" t="s">
        <v>38</v>
      </c>
      <c r="K4" s="12" t="s">
        <v>39</v>
      </c>
      <c r="L4" s="12" t="s">
        <v>40</v>
      </c>
      <c r="M4" s="12" t="s">
        <v>41</v>
      </c>
      <c r="N4" s="12" t="s">
        <v>42</v>
      </c>
      <c r="O4" s="12" t="s">
        <v>43</v>
      </c>
      <c r="P4" s="12" t="s">
        <v>44</v>
      </c>
      <c r="Q4" s="12" t="s">
        <v>45</v>
      </c>
      <c r="R4" s="12" t="s">
        <v>46</v>
      </c>
    </row>
    <row r="5" spans="1:19" ht="39.6" x14ac:dyDescent="0.3">
      <c r="A5" s="13" t="s">
        <v>47</v>
      </c>
      <c r="B5" s="14" t="s">
        <v>48</v>
      </c>
      <c r="C5" s="13" t="s">
        <v>49</v>
      </c>
      <c r="D5" s="14" t="s">
        <v>50</v>
      </c>
      <c r="E5" s="14" t="s">
        <v>51</v>
      </c>
      <c r="F5" s="14" t="s">
        <v>52</v>
      </c>
      <c r="G5" s="13"/>
      <c r="H5" s="13" t="s">
        <v>53</v>
      </c>
      <c r="I5" s="15">
        <v>0.5</v>
      </c>
      <c r="J5" s="14"/>
      <c r="K5" s="13" t="s">
        <v>54</v>
      </c>
      <c r="L5" s="13">
        <f>IF(K5="Có","Chờ",ROUNDUP(SUMIFS($I$5:I5,$K$5:K5,"Không")/'Hướng dẫn'!$C$7,0))</f>
        <v>1</v>
      </c>
      <c r="M5" s="16">
        <f>IF(ISNUMBER(L5),WORKDAY('Hướng dẫn'!$C$6,L5-1),"")</f>
        <v>46322</v>
      </c>
      <c r="N5" s="17"/>
      <c r="O5" s="18"/>
      <c r="P5" s="17" t="s">
        <v>55</v>
      </c>
      <c r="Q5" s="19" t="s">
        <v>56</v>
      </c>
      <c r="R5" s="20"/>
      <c r="S5" s="20" t="str">
        <f>IF(K5="Có",COUNTIF($K$5:K5,"Có"),"")</f>
        <v/>
      </c>
    </row>
    <row r="6" spans="1:19" ht="26.4" x14ac:dyDescent="0.3">
      <c r="A6" s="13" t="s">
        <v>57</v>
      </c>
      <c r="B6" s="14" t="s">
        <v>48</v>
      </c>
      <c r="C6" s="13" t="s">
        <v>49</v>
      </c>
      <c r="D6" s="14" t="s">
        <v>58</v>
      </c>
      <c r="E6" s="14" t="s">
        <v>59</v>
      </c>
      <c r="F6" s="14" t="s">
        <v>60</v>
      </c>
      <c r="G6" s="13"/>
      <c r="H6" s="13" t="s">
        <v>53</v>
      </c>
      <c r="I6" s="15">
        <v>0.5</v>
      </c>
      <c r="J6" s="14"/>
      <c r="K6" s="13" t="s">
        <v>54</v>
      </c>
      <c r="L6" s="13">
        <f>IF(K6="Có","Chờ",ROUNDUP(SUMIFS($I$5:I6,$K$5:K6,"Không")/'Hướng dẫn'!$C$7,0))</f>
        <v>1</v>
      </c>
      <c r="M6" s="16">
        <f>IF(ISNUMBER(L6),WORKDAY('Hướng dẫn'!$C$6,L6-1),"")</f>
        <v>46322</v>
      </c>
      <c r="N6" s="17"/>
      <c r="O6" s="18"/>
      <c r="P6" s="17" t="s">
        <v>55</v>
      </c>
      <c r="Q6" s="17"/>
      <c r="R6" s="20"/>
      <c r="S6" s="20" t="str">
        <f>IF(K6="Có",COUNTIF($K$5:K6,"Có"),"")</f>
        <v/>
      </c>
    </row>
    <row r="7" spans="1:19" ht="26.4" x14ac:dyDescent="0.3">
      <c r="A7" s="13" t="s">
        <v>61</v>
      </c>
      <c r="B7" s="14" t="s">
        <v>48</v>
      </c>
      <c r="C7" s="13" t="s">
        <v>49</v>
      </c>
      <c r="D7" s="14" t="s">
        <v>62</v>
      </c>
      <c r="E7" s="14" t="s">
        <v>63</v>
      </c>
      <c r="F7" s="14" t="s">
        <v>64</v>
      </c>
      <c r="G7" s="13"/>
      <c r="H7" s="13" t="s">
        <v>65</v>
      </c>
      <c r="I7" s="15">
        <v>0.25</v>
      </c>
      <c r="J7" s="14"/>
      <c r="K7" s="13" t="s">
        <v>54</v>
      </c>
      <c r="L7" s="13">
        <f>IF(K7="Có","Chờ",ROUNDUP(SUMIFS($I$5:I7,$K$5:K7,"Không")/'Hướng dẫn'!$C$7,0))</f>
        <v>1</v>
      </c>
      <c r="M7" s="16">
        <f>IF(ISNUMBER(L7),WORKDAY('Hướng dẫn'!$C$6,L7-1),"")</f>
        <v>46322</v>
      </c>
      <c r="N7" s="17"/>
      <c r="O7" s="18"/>
      <c r="P7" s="17" t="s">
        <v>55</v>
      </c>
      <c r="Q7" s="17"/>
      <c r="R7" s="20"/>
      <c r="S7" s="20" t="str">
        <f>IF(K7="Có",COUNTIF($K$5:K7,"Có"),"")</f>
        <v/>
      </c>
    </row>
    <row r="8" spans="1:19" ht="26.4" x14ac:dyDescent="0.3">
      <c r="A8" s="13" t="s">
        <v>66</v>
      </c>
      <c r="B8" s="14" t="s">
        <v>48</v>
      </c>
      <c r="C8" s="13" t="s">
        <v>49</v>
      </c>
      <c r="D8" s="14" t="s">
        <v>67</v>
      </c>
      <c r="E8" s="14" t="s">
        <v>68</v>
      </c>
      <c r="F8" s="14" t="s">
        <v>69</v>
      </c>
      <c r="G8" s="13"/>
      <c r="H8" s="13" t="s">
        <v>70</v>
      </c>
      <c r="I8" s="15">
        <v>0.5</v>
      </c>
      <c r="J8" s="14"/>
      <c r="K8" s="13" t="s">
        <v>54</v>
      </c>
      <c r="L8" s="13">
        <f>IF(K8="Có","Chờ",ROUNDUP(SUMIFS($I$5:I8,$K$5:K8,"Không")/'Hướng dẫn'!$C$7,0))</f>
        <v>1</v>
      </c>
      <c r="M8" s="16">
        <f>IF(ISNUMBER(L8),WORKDAY('Hướng dẫn'!$C$6,L8-1),"")</f>
        <v>46322</v>
      </c>
      <c r="N8" s="17"/>
      <c r="O8" s="18"/>
      <c r="P8" s="17" t="s">
        <v>55</v>
      </c>
      <c r="Q8" s="17"/>
      <c r="R8" s="20"/>
      <c r="S8" s="20" t="str">
        <f>IF(K8="Có",COUNTIF($K$5:K8,"Có"),"")</f>
        <v/>
      </c>
    </row>
    <row r="9" spans="1:19" ht="26.4" x14ac:dyDescent="0.3">
      <c r="A9" s="13" t="s">
        <v>71</v>
      </c>
      <c r="B9" s="14" t="s">
        <v>48</v>
      </c>
      <c r="C9" s="13" t="s">
        <v>49</v>
      </c>
      <c r="D9" s="14" t="s">
        <v>72</v>
      </c>
      <c r="E9" s="14" t="s">
        <v>73</v>
      </c>
      <c r="F9" s="14" t="s">
        <v>74</v>
      </c>
      <c r="G9" s="13"/>
      <c r="H9" s="13" t="s">
        <v>70</v>
      </c>
      <c r="I9" s="15">
        <v>1</v>
      </c>
      <c r="J9" s="14"/>
      <c r="K9" s="13" t="s">
        <v>54</v>
      </c>
      <c r="L9" s="13">
        <f>IF(K9="Có","Chờ",ROUNDUP(SUMIFS($I$5:I9,$K$5:K9,"Không")/'Hướng dẫn'!$C$7,0))</f>
        <v>1</v>
      </c>
      <c r="M9" s="16">
        <f>IF(ISNUMBER(L9),WORKDAY('Hướng dẫn'!$C$6,L9-1),"")</f>
        <v>46322</v>
      </c>
      <c r="N9" s="17"/>
      <c r="O9" s="18"/>
      <c r="P9" s="17" t="s">
        <v>55</v>
      </c>
      <c r="Q9" s="17"/>
      <c r="R9" s="20"/>
      <c r="S9" s="20" t="str">
        <f>IF(K9="Có",COUNTIF($K$5:K9,"Có"),"")</f>
        <v/>
      </c>
    </row>
    <row r="10" spans="1:19" ht="26.4" x14ac:dyDescent="0.3">
      <c r="A10" s="13" t="s">
        <v>75</v>
      </c>
      <c r="B10" s="14" t="s">
        <v>48</v>
      </c>
      <c r="C10" s="13" t="s">
        <v>49</v>
      </c>
      <c r="D10" s="14" t="s">
        <v>76</v>
      </c>
      <c r="E10" s="14" t="s">
        <v>77</v>
      </c>
      <c r="F10" s="14" t="s">
        <v>78</v>
      </c>
      <c r="G10" s="13"/>
      <c r="H10" s="13" t="s">
        <v>65</v>
      </c>
      <c r="I10" s="15">
        <v>0.5</v>
      </c>
      <c r="J10" s="14"/>
      <c r="K10" s="13" t="s">
        <v>54</v>
      </c>
      <c r="L10" s="13">
        <f>IF(K10="Có","Chờ",ROUNDUP(SUMIFS($I$5:I10,$K$5:K10,"Không")/'Hướng dẫn'!$C$7,0))</f>
        <v>1</v>
      </c>
      <c r="M10" s="16">
        <f>IF(ISNUMBER(L10),WORKDAY('Hướng dẫn'!$C$6,L10-1),"")</f>
        <v>46322</v>
      </c>
      <c r="N10" s="17"/>
      <c r="O10" s="18"/>
      <c r="P10" s="17" t="s">
        <v>55</v>
      </c>
      <c r="Q10" s="17"/>
      <c r="R10" s="20"/>
      <c r="S10" s="20" t="str">
        <f>IF(K10="Có",COUNTIF($K$5:K10,"Có"),"")</f>
        <v/>
      </c>
    </row>
    <row r="11" spans="1:19" x14ac:dyDescent="0.3">
      <c r="A11" s="13" t="s">
        <v>79</v>
      </c>
      <c r="B11" s="14" t="s">
        <v>48</v>
      </c>
      <c r="C11" s="13" t="s">
        <v>80</v>
      </c>
      <c r="D11" s="14" t="s">
        <v>81</v>
      </c>
      <c r="E11" s="14" t="s">
        <v>82</v>
      </c>
      <c r="F11" s="14" t="s">
        <v>83</v>
      </c>
      <c r="G11" s="13"/>
      <c r="H11" s="13" t="s">
        <v>70</v>
      </c>
      <c r="I11" s="15">
        <v>0.75</v>
      </c>
      <c r="J11" s="14"/>
      <c r="K11" s="13" t="s">
        <v>54</v>
      </c>
      <c r="L11" s="13">
        <f>IF(K11="Có","Chờ",ROUNDUP(SUMIFS($I$5:I11,$K$5:K11,"Không")/'Hướng dẫn'!$C$7,0))</f>
        <v>1</v>
      </c>
      <c r="M11" s="16">
        <f>IF(ISNUMBER(L11),WORKDAY('Hướng dẫn'!$C$6,L11-1),"")</f>
        <v>46322</v>
      </c>
      <c r="N11" s="17"/>
      <c r="O11" s="18"/>
      <c r="P11" s="17" t="s">
        <v>55</v>
      </c>
      <c r="Q11" s="17"/>
      <c r="R11" s="20"/>
      <c r="S11" s="20" t="str">
        <f>IF(K11="Có",COUNTIF($K$5:K11,"Có"),"")</f>
        <v/>
      </c>
    </row>
    <row r="12" spans="1:19" ht="26.4" x14ac:dyDescent="0.3">
      <c r="A12" s="13" t="s">
        <v>84</v>
      </c>
      <c r="B12" s="14" t="s">
        <v>48</v>
      </c>
      <c r="C12" s="13" t="s">
        <v>85</v>
      </c>
      <c r="D12" s="14" t="s">
        <v>86</v>
      </c>
      <c r="E12" s="14" t="s">
        <v>87</v>
      </c>
      <c r="F12" s="14" t="s">
        <v>88</v>
      </c>
      <c r="G12" s="13"/>
      <c r="H12" s="13" t="s">
        <v>65</v>
      </c>
      <c r="I12" s="15">
        <v>0.5</v>
      </c>
      <c r="J12" s="14"/>
      <c r="K12" s="13" t="s">
        <v>54</v>
      </c>
      <c r="L12" s="13">
        <f>IF(K12="Có","Chờ",ROUNDUP(SUMIFS($I$5:I12,$K$5:K12,"Không")/'Hướng dẫn'!$C$7,0))</f>
        <v>1</v>
      </c>
      <c r="M12" s="16">
        <f>IF(ISNUMBER(L12),WORKDAY('Hướng dẫn'!$C$6,L12-1),"")</f>
        <v>46322</v>
      </c>
      <c r="N12" s="17"/>
      <c r="O12" s="18"/>
      <c r="P12" s="17" t="s">
        <v>55</v>
      </c>
      <c r="Q12" s="17"/>
      <c r="R12" s="20"/>
      <c r="S12" s="20" t="str">
        <f>IF(K12="Có",COUNTIF($K$5:K12,"Có"),"")</f>
        <v/>
      </c>
    </row>
    <row r="13" spans="1:19" ht="26.4" x14ac:dyDescent="0.3">
      <c r="A13" s="13" t="s">
        <v>89</v>
      </c>
      <c r="B13" s="14" t="s">
        <v>90</v>
      </c>
      <c r="C13" s="13" t="s">
        <v>91</v>
      </c>
      <c r="D13" s="14" t="s">
        <v>92</v>
      </c>
      <c r="E13" s="14" t="s">
        <v>93</v>
      </c>
      <c r="F13" s="14" t="s">
        <v>94</v>
      </c>
      <c r="G13" s="13"/>
      <c r="H13" s="13" t="s">
        <v>53</v>
      </c>
      <c r="I13" s="15">
        <v>1</v>
      </c>
      <c r="J13" s="14"/>
      <c r="K13" s="13" t="s">
        <v>54</v>
      </c>
      <c r="L13" s="13">
        <f>IF(K13="Có","Chờ",ROUNDUP(SUMIFS($I$5:I13,$K$5:K13,"Không")/'Hướng dẫn'!$C$7,0))</f>
        <v>1</v>
      </c>
      <c r="M13" s="16">
        <f>IF(ISNUMBER(L13),WORKDAY('Hướng dẫn'!$C$6,L13-1),"")</f>
        <v>46322</v>
      </c>
      <c r="N13" s="17"/>
      <c r="O13" s="18"/>
      <c r="P13" s="17" t="s">
        <v>55</v>
      </c>
      <c r="Q13" s="17"/>
      <c r="R13" s="20"/>
      <c r="S13" s="20" t="str">
        <f>IF(K13="Có",COUNTIF($K$5:K13,"Có"),"")</f>
        <v/>
      </c>
    </row>
    <row r="14" spans="1:19" ht="39.6" x14ac:dyDescent="0.3">
      <c r="A14" s="13" t="s">
        <v>95</v>
      </c>
      <c r="B14" s="14" t="s">
        <v>90</v>
      </c>
      <c r="C14" s="13" t="s">
        <v>96</v>
      </c>
      <c r="D14" s="14" t="s">
        <v>97</v>
      </c>
      <c r="E14" s="14" t="s">
        <v>98</v>
      </c>
      <c r="F14" s="14" t="s">
        <v>99</v>
      </c>
      <c r="G14" s="13"/>
      <c r="H14" s="13" t="s">
        <v>53</v>
      </c>
      <c r="I14" s="15">
        <v>1</v>
      </c>
      <c r="J14" s="14"/>
      <c r="K14" s="13" t="s">
        <v>54</v>
      </c>
      <c r="L14" s="13">
        <f>IF(K14="Có","Chờ",ROUNDUP(SUMIFS($I$5:I14,$K$5:K14,"Không")/'Hướng dẫn'!$C$7,0))</f>
        <v>2</v>
      </c>
      <c r="M14" s="16">
        <f>IF(ISNUMBER(L14),WORKDAY('Hướng dẫn'!$C$6,L14-1),"")</f>
        <v>46323</v>
      </c>
      <c r="N14" s="17"/>
      <c r="O14" s="18"/>
      <c r="P14" s="17" t="s">
        <v>55</v>
      </c>
      <c r="Q14" s="17"/>
      <c r="R14" s="20"/>
      <c r="S14" s="20" t="str">
        <f>IF(K14="Có",COUNTIF($K$5:K14,"Có"),"")</f>
        <v/>
      </c>
    </row>
    <row r="15" spans="1:19" ht="26.4" x14ac:dyDescent="0.3">
      <c r="A15" s="13" t="s">
        <v>100</v>
      </c>
      <c r="B15" s="14" t="s">
        <v>90</v>
      </c>
      <c r="C15" s="13" t="s">
        <v>96</v>
      </c>
      <c r="D15" s="14" t="s">
        <v>101</v>
      </c>
      <c r="E15" s="14" t="s">
        <v>102</v>
      </c>
      <c r="F15" s="14" t="s">
        <v>103</v>
      </c>
      <c r="G15" s="13"/>
      <c r="H15" s="13" t="s">
        <v>70</v>
      </c>
      <c r="I15" s="15">
        <v>1</v>
      </c>
      <c r="J15" s="14"/>
      <c r="K15" s="13" t="s">
        <v>54</v>
      </c>
      <c r="L15" s="13">
        <f>IF(K15="Có","Chờ",ROUNDUP(SUMIFS($I$5:I15,$K$5:K15,"Không")/'Hướng dẫn'!$C$7,0))</f>
        <v>2</v>
      </c>
      <c r="M15" s="16">
        <f>IF(ISNUMBER(L15),WORKDAY('Hướng dẫn'!$C$6,L15-1),"")</f>
        <v>46323</v>
      </c>
      <c r="N15" s="17"/>
      <c r="O15" s="18"/>
      <c r="P15" s="17" t="s">
        <v>55</v>
      </c>
      <c r="Q15" s="17"/>
      <c r="R15" s="20"/>
      <c r="S15" s="20" t="str">
        <f>IF(K15="Có",COUNTIF($K$5:K15,"Có"),"")</f>
        <v/>
      </c>
    </row>
    <row r="16" spans="1:19" ht="26.4" x14ac:dyDescent="0.3">
      <c r="A16" s="13" t="s">
        <v>104</v>
      </c>
      <c r="B16" s="14" t="s">
        <v>90</v>
      </c>
      <c r="C16" s="13" t="s">
        <v>96</v>
      </c>
      <c r="D16" s="14" t="s">
        <v>105</v>
      </c>
      <c r="E16" s="14" t="s">
        <v>106</v>
      </c>
      <c r="F16" s="14" t="s">
        <v>107</v>
      </c>
      <c r="G16" s="13"/>
      <c r="H16" s="13" t="s">
        <v>70</v>
      </c>
      <c r="I16" s="15">
        <v>0.5</v>
      </c>
      <c r="J16" s="14"/>
      <c r="K16" s="13" t="s">
        <v>54</v>
      </c>
      <c r="L16" s="13">
        <f>IF(K16="Có","Chờ",ROUNDUP(SUMIFS($I$5:I16,$K$5:K16,"Không")/'Hướng dẫn'!$C$7,0))</f>
        <v>2</v>
      </c>
      <c r="M16" s="16">
        <f>IF(ISNUMBER(L16),WORKDAY('Hướng dẫn'!$C$6,L16-1),"")</f>
        <v>46323</v>
      </c>
      <c r="N16" s="17"/>
      <c r="O16" s="18"/>
      <c r="P16" s="17" t="s">
        <v>55</v>
      </c>
      <c r="Q16" s="17"/>
      <c r="R16" s="20"/>
      <c r="S16" s="20" t="str">
        <f>IF(K16="Có",COUNTIF($K$5:K16,"Có"),"")</f>
        <v/>
      </c>
    </row>
    <row r="17" spans="1:19" ht="26.4" x14ac:dyDescent="0.3">
      <c r="A17" s="13" t="s">
        <v>108</v>
      </c>
      <c r="B17" s="14" t="s">
        <v>90</v>
      </c>
      <c r="C17" s="13" t="s">
        <v>96</v>
      </c>
      <c r="D17" s="14" t="s">
        <v>109</v>
      </c>
      <c r="E17" s="14" t="s">
        <v>110</v>
      </c>
      <c r="F17" s="14" t="s">
        <v>111</v>
      </c>
      <c r="G17" s="13" t="s">
        <v>112</v>
      </c>
      <c r="H17" s="13" t="s">
        <v>53</v>
      </c>
      <c r="I17" s="15">
        <v>0.75</v>
      </c>
      <c r="J17" s="14"/>
      <c r="K17" s="13" t="s">
        <v>54</v>
      </c>
      <c r="L17" s="13">
        <f>IF(K17="Có","Chờ",ROUNDUP(SUMIFS($I$5:I17,$K$5:K17,"Không")/'Hướng dẫn'!$C$7,0))</f>
        <v>2</v>
      </c>
      <c r="M17" s="16">
        <f>IF(ISNUMBER(L17),WORKDAY('Hướng dẫn'!$C$6,L17-1),"")</f>
        <v>46323</v>
      </c>
      <c r="N17" s="17"/>
      <c r="O17" s="18"/>
      <c r="P17" s="17" t="s">
        <v>55</v>
      </c>
      <c r="Q17" s="17"/>
      <c r="R17" s="20" t="s">
        <v>113</v>
      </c>
      <c r="S17" s="20" t="str">
        <f>IF(K17="Có",COUNTIF($K$5:K17,"Có"),"")</f>
        <v/>
      </c>
    </row>
    <row r="18" spans="1:19" ht="26.4" x14ac:dyDescent="0.3">
      <c r="A18" s="13" t="s">
        <v>114</v>
      </c>
      <c r="B18" s="14" t="s">
        <v>90</v>
      </c>
      <c r="C18" s="13" t="s">
        <v>96</v>
      </c>
      <c r="D18" s="14" t="s">
        <v>115</v>
      </c>
      <c r="E18" s="14" t="s">
        <v>116</v>
      </c>
      <c r="F18" s="14" t="s">
        <v>117</v>
      </c>
      <c r="G18" s="13" t="s">
        <v>118</v>
      </c>
      <c r="H18" s="13" t="s">
        <v>53</v>
      </c>
      <c r="I18" s="15">
        <v>0.5</v>
      </c>
      <c r="J18" s="14"/>
      <c r="K18" s="13" t="s">
        <v>54</v>
      </c>
      <c r="L18" s="13">
        <f>IF(K18="Có","Chờ",ROUNDUP(SUMIFS($I$5:I18,$K$5:K18,"Không")/'Hướng dẫn'!$C$7,0))</f>
        <v>2</v>
      </c>
      <c r="M18" s="16">
        <f>IF(ISNUMBER(L18),WORKDAY('Hướng dẫn'!$C$6,L18-1),"")</f>
        <v>46323</v>
      </c>
      <c r="N18" s="17"/>
      <c r="O18" s="18"/>
      <c r="P18" s="17" t="s">
        <v>55</v>
      </c>
      <c r="Q18" s="17"/>
      <c r="R18" s="20" t="s">
        <v>119</v>
      </c>
      <c r="S18" s="20" t="str">
        <f>IF(K18="Có",COUNTIF($K$5:K18,"Có"),"")</f>
        <v/>
      </c>
    </row>
    <row r="19" spans="1:19" ht="26.4" x14ac:dyDescent="0.3">
      <c r="A19" s="13" t="s">
        <v>120</v>
      </c>
      <c r="B19" s="14" t="s">
        <v>90</v>
      </c>
      <c r="C19" s="13" t="s">
        <v>96</v>
      </c>
      <c r="D19" s="14" t="s">
        <v>121</v>
      </c>
      <c r="E19" s="14" t="s">
        <v>122</v>
      </c>
      <c r="F19" s="14" t="s">
        <v>123</v>
      </c>
      <c r="G19" s="13" t="s">
        <v>124</v>
      </c>
      <c r="H19" s="13" t="s">
        <v>53</v>
      </c>
      <c r="I19" s="15">
        <v>1</v>
      </c>
      <c r="J19" s="14"/>
      <c r="K19" s="13" t="s">
        <v>54</v>
      </c>
      <c r="L19" s="13">
        <f>IF(K19="Có","Chờ",ROUNDUP(SUMIFS($I$5:I19,$K$5:K19,"Không")/'Hướng dẫn'!$C$7,0))</f>
        <v>2</v>
      </c>
      <c r="M19" s="16">
        <f>IF(ISNUMBER(L19),WORKDAY('Hướng dẫn'!$C$6,L19-1),"")</f>
        <v>46323</v>
      </c>
      <c r="N19" s="17"/>
      <c r="O19" s="18"/>
      <c r="P19" s="17" t="s">
        <v>55</v>
      </c>
      <c r="Q19" s="17"/>
      <c r="R19" s="20" t="s">
        <v>125</v>
      </c>
      <c r="S19" s="20" t="str">
        <f>IF(K19="Có",COUNTIF($K$5:K19,"Có"),"")</f>
        <v/>
      </c>
    </row>
    <row r="20" spans="1:19" ht="26.4" x14ac:dyDescent="0.3">
      <c r="A20" s="13" t="s">
        <v>126</v>
      </c>
      <c r="B20" s="14" t="s">
        <v>90</v>
      </c>
      <c r="C20" s="13" t="s">
        <v>96</v>
      </c>
      <c r="D20" s="14" t="s">
        <v>127</v>
      </c>
      <c r="E20" s="14" t="s">
        <v>128</v>
      </c>
      <c r="F20" s="14" t="s">
        <v>129</v>
      </c>
      <c r="G20" s="13"/>
      <c r="H20" s="13" t="s">
        <v>70</v>
      </c>
      <c r="I20" s="15">
        <v>0.75</v>
      </c>
      <c r="J20" s="14"/>
      <c r="K20" s="13" t="s">
        <v>54</v>
      </c>
      <c r="L20" s="13">
        <f>IF(K20="Có","Chờ",ROUNDUP(SUMIFS($I$5:I20,$K$5:K20,"Không")/'Hướng dẫn'!$C$7,0))</f>
        <v>2</v>
      </c>
      <c r="M20" s="16">
        <f>IF(ISNUMBER(L20),WORKDAY('Hướng dẫn'!$C$6,L20-1),"")</f>
        <v>46323</v>
      </c>
      <c r="N20" s="17"/>
      <c r="O20" s="18"/>
      <c r="P20" s="17" t="s">
        <v>55</v>
      </c>
      <c r="Q20" s="17"/>
      <c r="R20" s="20"/>
      <c r="S20" s="20" t="str">
        <f>IF(K20="Có",COUNTIF($K$5:K20,"Có"),"")</f>
        <v/>
      </c>
    </row>
    <row r="21" spans="1:19" ht="26.4" x14ac:dyDescent="0.3">
      <c r="A21" s="13" t="s">
        <v>130</v>
      </c>
      <c r="B21" s="14" t="s">
        <v>90</v>
      </c>
      <c r="C21" s="13" t="s">
        <v>96</v>
      </c>
      <c r="D21" s="14" t="s">
        <v>131</v>
      </c>
      <c r="E21" s="14" t="s">
        <v>132</v>
      </c>
      <c r="F21" s="14" t="s">
        <v>133</v>
      </c>
      <c r="G21" s="13"/>
      <c r="H21" s="13" t="s">
        <v>70</v>
      </c>
      <c r="I21" s="15">
        <v>1</v>
      </c>
      <c r="J21" s="14"/>
      <c r="K21" s="13" t="s">
        <v>54</v>
      </c>
      <c r="L21" s="13">
        <f>IF(K21="Có","Chờ",ROUNDUP(SUMIFS($I$5:I21,$K$5:K21,"Không")/'Hướng dẫn'!$C$7,0))</f>
        <v>2</v>
      </c>
      <c r="M21" s="16">
        <f>IF(ISNUMBER(L21),WORKDAY('Hướng dẫn'!$C$6,L21-1),"")</f>
        <v>46323</v>
      </c>
      <c r="N21" s="17"/>
      <c r="O21" s="18"/>
      <c r="P21" s="17" t="s">
        <v>55</v>
      </c>
      <c r="Q21" s="17"/>
      <c r="R21" s="20"/>
      <c r="S21" s="20" t="str">
        <f>IF(K21="Có",COUNTIF($K$5:K21,"Có"),"")</f>
        <v/>
      </c>
    </row>
    <row r="22" spans="1:19" ht="26.4" x14ac:dyDescent="0.3">
      <c r="A22" s="13" t="s">
        <v>134</v>
      </c>
      <c r="B22" s="14" t="s">
        <v>90</v>
      </c>
      <c r="C22" s="13" t="s">
        <v>135</v>
      </c>
      <c r="D22" s="14" t="s">
        <v>136</v>
      </c>
      <c r="E22" s="14" t="s">
        <v>137</v>
      </c>
      <c r="F22" s="14" t="s">
        <v>138</v>
      </c>
      <c r="G22" s="13"/>
      <c r="H22" s="13" t="s">
        <v>65</v>
      </c>
      <c r="I22" s="15">
        <v>0.5</v>
      </c>
      <c r="J22" s="14"/>
      <c r="K22" s="13" t="s">
        <v>54</v>
      </c>
      <c r="L22" s="13">
        <f>IF(K22="Có","Chờ",ROUNDUP(SUMIFS($I$5:I22,$K$5:K22,"Không")/'Hướng dẫn'!$C$7,0))</f>
        <v>3</v>
      </c>
      <c r="M22" s="16">
        <f>IF(ISNUMBER(L22),WORKDAY('Hướng dẫn'!$C$6,L22-1),"")</f>
        <v>46324</v>
      </c>
      <c r="N22" s="17"/>
      <c r="O22" s="18"/>
      <c r="P22" s="17" t="s">
        <v>55</v>
      </c>
      <c r="Q22" s="17"/>
      <c r="R22" s="20"/>
      <c r="S22" s="20" t="str">
        <f>IF(K22="Có",COUNTIF($K$5:K22,"Có"),"")</f>
        <v/>
      </c>
    </row>
    <row r="23" spans="1:19" ht="26.4" x14ac:dyDescent="0.3">
      <c r="A23" s="13" t="s">
        <v>139</v>
      </c>
      <c r="B23" s="14" t="s">
        <v>90</v>
      </c>
      <c r="C23" s="13" t="s">
        <v>140</v>
      </c>
      <c r="D23" s="14" t="s">
        <v>141</v>
      </c>
      <c r="E23" s="14" t="s">
        <v>142</v>
      </c>
      <c r="F23" s="14" t="s">
        <v>143</v>
      </c>
      <c r="G23" s="13" t="s">
        <v>144</v>
      </c>
      <c r="H23" s="13" t="s">
        <v>53</v>
      </c>
      <c r="I23" s="15">
        <v>1</v>
      </c>
      <c r="J23" s="14"/>
      <c r="K23" s="13" t="s">
        <v>54</v>
      </c>
      <c r="L23" s="13">
        <f>IF(K23="Có","Chờ",ROUNDUP(SUMIFS($I$5:I23,$K$5:K23,"Không")/'Hướng dẫn'!$C$7,0))</f>
        <v>3</v>
      </c>
      <c r="M23" s="16">
        <f>IF(ISNUMBER(L23),WORKDAY('Hướng dẫn'!$C$6,L23-1),"")</f>
        <v>46324</v>
      </c>
      <c r="N23" s="17"/>
      <c r="O23" s="18"/>
      <c r="P23" s="17" t="s">
        <v>55</v>
      </c>
      <c r="Q23" s="17"/>
      <c r="R23" s="20" t="s">
        <v>145</v>
      </c>
      <c r="S23" s="20" t="str">
        <f>IF(K23="Có",COUNTIF($K$5:K23,"Có"),"")</f>
        <v/>
      </c>
    </row>
    <row r="24" spans="1:19" ht="26.4" x14ac:dyDescent="0.3">
      <c r="A24" s="13" t="s">
        <v>146</v>
      </c>
      <c r="B24" s="14" t="s">
        <v>90</v>
      </c>
      <c r="C24" s="13" t="s">
        <v>140</v>
      </c>
      <c r="D24" s="14" t="s">
        <v>147</v>
      </c>
      <c r="E24" s="14" t="s">
        <v>148</v>
      </c>
      <c r="F24" s="14" t="s">
        <v>149</v>
      </c>
      <c r="G24" s="13"/>
      <c r="H24" s="13" t="s">
        <v>70</v>
      </c>
      <c r="I24" s="15">
        <v>0.5</v>
      </c>
      <c r="J24" s="14"/>
      <c r="K24" s="13" t="s">
        <v>54</v>
      </c>
      <c r="L24" s="13">
        <f>IF(K24="Có","Chờ",ROUNDUP(SUMIFS($I$5:I24,$K$5:K24,"Không")/'Hướng dẫn'!$C$7,0))</f>
        <v>3</v>
      </c>
      <c r="M24" s="16">
        <f>IF(ISNUMBER(L24),WORKDAY('Hướng dẫn'!$C$6,L24-1),"")</f>
        <v>46324</v>
      </c>
      <c r="N24" s="17"/>
      <c r="O24" s="18"/>
      <c r="P24" s="17" t="s">
        <v>55</v>
      </c>
      <c r="Q24" s="17"/>
      <c r="R24" s="20"/>
      <c r="S24" s="20" t="str">
        <f>IF(K24="Có",COUNTIF($K$5:K24,"Có"),"")</f>
        <v/>
      </c>
    </row>
    <row r="25" spans="1:19" ht="26.4" x14ac:dyDescent="0.3">
      <c r="A25" s="13" t="s">
        <v>150</v>
      </c>
      <c r="B25" s="14" t="s">
        <v>90</v>
      </c>
      <c r="C25" s="13" t="s">
        <v>140</v>
      </c>
      <c r="D25" s="14" t="s">
        <v>151</v>
      </c>
      <c r="E25" s="14" t="s">
        <v>152</v>
      </c>
      <c r="F25" s="14" t="s">
        <v>153</v>
      </c>
      <c r="G25" s="13"/>
      <c r="H25" s="13" t="s">
        <v>65</v>
      </c>
      <c r="I25" s="15">
        <v>0.5</v>
      </c>
      <c r="J25" s="14"/>
      <c r="K25" s="13" t="s">
        <v>54</v>
      </c>
      <c r="L25" s="13">
        <f>IF(K25="Có","Chờ",ROUNDUP(SUMIFS($I$5:I25,$K$5:K25,"Không")/'Hướng dẫn'!$C$7,0))</f>
        <v>3</v>
      </c>
      <c r="M25" s="16">
        <f>IF(ISNUMBER(L25),WORKDAY('Hướng dẫn'!$C$6,L25-1),"")</f>
        <v>46324</v>
      </c>
      <c r="N25" s="17"/>
      <c r="O25" s="18"/>
      <c r="P25" s="17" t="s">
        <v>55</v>
      </c>
      <c r="Q25" s="17"/>
      <c r="R25" s="20"/>
      <c r="S25" s="20" t="str">
        <f>IF(K25="Có",COUNTIF($K$5:K25,"Có"),"")</f>
        <v/>
      </c>
    </row>
    <row r="26" spans="1:19" ht="26.4" x14ac:dyDescent="0.3">
      <c r="A26" s="13" t="s">
        <v>154</v>
      </c>
      <c r="B26" s="14" t="s">
        <v>90</v>
      </c>
      <c r="C26" s="13" t="s">
        <v>155</v>
      </c>
      <c r="D26" s="14" t="s">
        <v>156</v>
      </c>
      <c r="E26" s="14" t="s">
        <v>157</v>
      </c>
      <c r="F26" s="14" t="s">
        <v>158</v>
      </c>
      <c r="G26" s="13" t="s">
        <v>144</v>
      </c>
      <c r="H26" s="13" t="s">
        <v>65</v>
      </c>
      <c r="I26" s="15">
        <v>0.25</v>
      </c>
      <c r="J26" s="14"/>
      <c r="K26" s="13" t="s">
        <v>54</v>
      </c>
      <c r="L26" s="13">
        <f>IF(K26="Có","Chờ",ROUNDUP(SUMIFS($I$5:I26,$K$5:K26,"Không")/'Hướng dẫn'!$C$7,0))</f>
        <v>3</v>
      </c>
      <c r="M26" s="16">
        <f>IF(ISNUMBER(L26),WORKDAY('Hướng dẫn'!$C$6,L26-1),"")</f>
        <v>46324</v>
      </c>
      <c r="N26" s="17"/>
      <c r="O26" s="18"/>
      <c r="P26" s="17" t="s">
        <v>55</v>
      </c>
      <c r="Q26" s="17"/>
      <c r="R26" s="20" t="s">
        <v>145</v>
      </c>
      <c r="S26" s="20" t="str">
        <f>IF(K26="Có",COUNTIF($K$5:K26,"Có"),"")</f>
        <v/>
      </c>
    </row>
    <row r="27" spans="1:19" x14ac:dyDescent="0.3">
      <c r="A27" s="13" t="s">
        <v>159</v>
      </c>
      <c r="B27" s="14" t="s">
        <v>160</v>
      </c>
      <c r="C27" s="13" t="s">
        <v>161</v>
      </c>
      <c r="D27" s="14" t="s">
        <v>162</v>
      </c>
      <c r="E27" s="14" t="s">
        <v>163</v>
      </c>
      <c r="F27" s="14" t="s">
        <v>164</v>
      </c>
      <c r="G27" s="13" t="s">
        <v>165</v>
      </c>
      <c r="H27" s="13" t="s">
        <v>53</v>
      </c>
      <c r="I27" s="15">
        <v>0.75</v>
      </c>
      <c r="J27" s="14"/>
      <c r="K27" s="13" t="s">
        <v>54</v>
      </c>
      <c r="L27" s="13">
        <f>IF(K27="Có","Chờ",ROUNDUP(SUMIFS($I$5:I27,$K$5:K27,"Không")/'Hướng dẫn'!$C$7,0))</f>
        <v>3</v>
      </c>
      <c r="M27" s="16">
        <f>IF(ISNUMBER(L27),WORKDAY('Hướng dẫn'!$C$6,L27-1),"")</f>
        <v>46324</v>
      </c>
      <c r="N27" s="17"/>
      <c r="O27" s="18"/>
      <c r="P27" s="17" t="s">
        <v>55</v>
      </c>
      <c r="Q27" s="17"/>
      <c r="R27" s="20" t="s">
        <v>166</v>
      </c>
      <c r="S27" s="20" t="str">
        <f>IF(K27="Có",COUNTIF($K$5:K27,"Có"),"")</f>
        <v/>
      </c>
    </row>
    <row r="28" spans="1:19" x14ac:dyDescent="0.3">
      <c r="A28" s="13" t="s">
        <v>167</v>
      </c>
      <c r="B28" s="14" t="s">
        <v>160</v>
      </c>
      <c r="C28" s="13" t="s">
        <v>161</v>
      </c>
      <c r="D28" s="14" t="s">
        <v>168</v>
      </c>
      <c r="E28" s="14" t="s">
        <v>169</v>
      </c>
      <c r="F28" s="14" t="s">
        <v>170</v>
      </c>
      <c r="G28" s="13" t="s">
        <v>171</v>
      </c>
      <c r="H28" s="13" t="s">
        <v>53</v>
      </c>
      <c r="I28" s="15">
        <v>0.5</v>
      </c>
      <c r="J28" s="14"/>
      <c r="K28" s="13" t="s">
        <v>54</v>
      </c>
      <c r="L28" s="13">
        <f>IF(K28="Có","Chờ",ROUNDUP(SUMIFS($I$5:I28,$K$5:K28,"Không")/'Hướng dẫn'!$C$7,0))</f>
        <v>3</v>
      </c>
      <c r="M28" s="16">
        <f>IF(ISNUMBER(L28),WORKDAY('Hướng dẫn'!$C$6,L28-1),"")</f>
        <v>46324</v>
      </c>
      <c r="N28" s="17"/>
      <c r="O28" s="18"/>
      <c r="P28" s="17" t="s">
        <v>55</v>
      </c>
      <c r="Q28" s="17"/>
      <c r="R28" s="20" t="s">
        <v>172</v>
      </c>
      <c r="S28" s="20" t="str">
        <f>IF(K28="Có",COUNTIF($K$5:K28,"Có"),"")</f>
        <v/>
      </c>
    </row>
    <row r="29" spans="1:19" ht="26.4" x14ac:dyDescent="0.3">
      <c r="A29" s="13" t="s">
        <v>173</v>
      </c>
      <c r="B29" s="14" t="s">
        <v>160</v>
      </c>
      <c r="C29" s="13" t="s">
        <v>161</v>
      </c>
      <c r="D29" s="14" t="s">
        <v>174</v>
      </c>
      <c r="E29" s="14" t="s">
        <v>175</v>
      </c>
      <c r="F29" s="14" t="s">
        <v>176</v>
      </c>
      <c r="G29" s="13" t="s">
        <v>177</v>
      </c>
      <c r="H29" s="13" t="s">
        <v>53</v>
      </c>
      <c r="I29" s="15">
        <v>0.75</v>
      </c>
      <c r="J29" s="14"/>
      <c r="K29" s="13" t="s">
        <v>54</v>
      </c>
      <c r="L29" s="13">
        <f>IF(K29="Có","Chờ",ROUNDUP(SUMIFS($I$5:I29,$K$5:K29,"Không")/'Hướng dẫn'!$C$7,0))</f>
        <v>3</v>
      </c>
      <c r="M29" s="16">
        <f>IF(ISNUMBER(L29),WORKDAY('Hướng dẫn'!$C$6,L29-1),"")</f>
        <v>46324</v>
      </c>
      <c r="N29" s="17"/>
      <c r="O29" s="18"/>
      <c r="P29" s="17" t="s">
        <v>55</v>
      </c>
      <c r="Q29" s="17"/>
      <c r="R29" s="20" t="s">
        <v>178</v>
      </c>
      <c r="S29" s="20" t="str">
        <f>IF(K29="Có",COUNTIF($K$5:K29,"Có"),"")</f>
        <v/>
      </c>
    </row>
    <row r="30" spans="1:19" ht="26.4" x14ac:dyDescent="0.3">
      <c r="A30" s="13" t="s">
        <v>179</v>
      </c>
      <c r="B30" s="14" t="s">
        <v>160</v>
      </c>
      <c r="C30" s="13" t="s">
        <v>161</v>
      </c>
      <c r="D30" s="14" t="s">
        <v>180</v>
      </c>
      <c r="E30" s="14" t="s">
        <v>181</v>
      </c>
      <c r="F30" s="14" t="s">
        <v>182</v>
      </c>
      <c r="G30" s="13" t="s">
        <v>183</v>
      </c>
      <c r="H30" s="13" t="s">
        <v>53</v>
      </c>
      <c r="I30" s="15">
        <v>0.5</v>
      </c>
      <c r="J30" s="14"/>
      <c r="K30" s="13" t="s">
        <v>54</v>
      </c>
      <c r="L30" s="13">
        <f>IF(K30="Có","Chờ",ROUNDUP(SUMIFS($I$5:I30,$K$5:K30,"Không")/'Hướng dẫn'!$C$7,0))</f>
        <v>3</v>
      </c>
      <c r="M30" s="16">
        <f>IF(ISNUMBER(L30),WORKDAY('Hướng dẫn'!$C$6,L30-1),"")</f>
        <v>46324</v>
      </c>
      <c r="N30" s="17"/>
      <c r="O30" s="18"/>
      <c r="P30" s="17" t="s">
        <v>55</v>
      </c>
      <c r="Q30" s="17"/>
      <c r="R30" s="20" t="s">
        <v>184</v>
      </c>
      <c r="S30" s="20" t="str">
        <f>IF(K30="Có",COUNTIF($K$5:K30,"Có"),"")</f>
        <v/>
      </c>
    </row>
    <row r="31" spans="1:19" ht="26.4" x14ac:dyDescent="0.3">
      <c r="A31" s="13" t="s">
        <v>185</v>
      </c>
      <c r="B31" s="14" t="s">
        <v>160</v>
      </c>
      <c r="C31" s="13" t="s">
        <v>161</v>
      </c>
      <c r="D31" s="14" t="s">
        <v>186</v>
      </c>
      <c r="E31" s="14" t="s">
        <v>187</v>
      </c>
      <c r="F31" s="14" t="s">
        <v>188</v>
      </c>
      <c r="G31" s="13" t="s">
        <v>189</v>
      </c>
      <c r="H31" s="13" t="s">
        <v>53</v>
      </c>
      <c r="I31" s="15">
        <v>1</v>
      </c>
      <c r="J31" s="14"/>
      <c r="K31" s="13" t="s">
        <v>54</v>
      </c>
      <c r="L31" s="13">
        <f>IF(K31="Có","Chờ",ROUNDUP(SUMIFS($I$5:I31,$K$5:K31,"Không")/'Hướng dẫn'!$C$7,0))</f>
        <v>4</v>
      </c>
      <c r="M31" s="16">
        <f>IF(ISNUMBER(L31),WORKDAY('Hướng dẫn'!$C$6,L31-1),"")</f>
        <v>46325</v>
      </c>
      <c r="N31" s="17"/>
      <c r="O31" s="18"/>
      <c r="P31" s="17" t="s">
        <v>55</v>
      </c>
      <c r="Q31" s="17"/>
      <c r="R31" s="20" t="s">
        <v>190</v>
      </c>
      <c r="S31" s="20" t="str">
        <f>IF(K31="Có",COUNTIF($K$5:K31,"Có"),"")</f>
        <v/>
      </c>
    </row>
    <row r="32" spans="1:19" x14ac:dyDescent="0.3">
      <c r="A32" s="13" t="s">
        <v>191</v>
      </c>
      <c r="B32" s="14" t="s">
        <v>160</v>
      </c>
      <c r="C32" s="13" t="s">
        <v>161</v>
      </c>
      <c r="D32" s="14" t="s">
        <v>192</v>
      </c>
      <c r="E32" s="14" t="s">
        <v>193</v>
      </c>
      <c r="F32" s="14" t="s">
        <v>194</v>
      </c>
      <c r="G32" s="13" t="s">
        <v>195</v>
      </c>
      <c r="H32" s="13" t="s">
        <v>53</v>
      </c>
      <c r="I32" s="15">
        <v>0.75</v>
      </c>
      <c r="J32" s="14"/>
      <c r="K32" s="13" t="s">
        <v>54</v>
      </c>
      <c r="L32" s="13">
        <f>IF(K32="Có","Chờ",ROUNDUP(SUMIFS($I$5:I32,$K$5:K32,"Không")/'Hướng dẫn'!$C$7,0))</f>
        <v>4</v>
      </c>
      <c r="M32" s="16">
        <f>IF(ISNUMBER(L32),WORKDAY('Hướng dẫn'!$C$6,L32-1),"")</f>
        <v>46325</v>
      </c>
      <c r="N32" s="17"/>
      <c r="O32" s="18"/>
      <c r="P32" s="17" t="s">
        <v>55</v>
      </c>
      <c r="Q32" s="17"/>
      <c r="R32" s="20" t="s">
        <v>196</v>
      </c>
      <c r="S32" s="20" t="str">
        <f>IF(K32="Có",COUNTIF($K$5:K32,"Có"),"")</f>
        <v/>
      </c>
    </row>
    <row r="33" spans="1:19" x14ac:dyDescent="0.3">
      <c r="A33" s="13" t="s">
        <v>197</v>
      </c>
      <c r="B33" s="14" t="s">
        <v>160</v>
      </c>
      <c r="C33" s="13" t="s">
        <v>161</v>
      </c>
      <c r="D33" s="14" t="s">
        <v>198</v>
      </c>
      <c r="E33" s="14" t="s">
        <v>199</v>
      </c>
      <c r="F33" s="14" t="s">
        <v>200</v>
      </c>
      <c r="G33" s="13" t="s">
        <v>201</v>
      </c>
      <c r="H33" s="13" t="s">
        <v>53</v>
      </c>
      <c r="I33" s="15">
        <v>0.5</v>
      </c>
      <c r="J33" s="14"/>
      <c r="K33" s="13" t="s">
        <v>54</v>
      </c>
      <c r="L33" s="13">
        <f>IF(K33="Có","Chờ",ROUNDUP(SUMIFS($I$5:I33,$K$5:K33,"Không")/'Hướng dẫn'!$C$7,0))</f>
        <v>4</v>
      </c>
      <c r="M33" s="16">
        <f>IF(ISNUMBER(L33),WORKDAY('Hướng dẫn'!$C$6,L33-1),"")</f>
        <v>46325</v>
      </c>
      <c r="N33" s="17"/>
      <c r="O33" s="18"/>
      <c r="P33" s="17" t="s">
        <v>55</v>
      </c>
      <c r="Q33" s="17"/>
      <c r="R33" s="20" t="s">
        <v>202</v>
      </c>
      <c r="S33" s="20" t="str">
        <f>IF(K33="Có",COUNTIF($K$5:K33,"Có"),"")</f>
        <v/>
      </c>
    </row>
    <row r="34" spans="1:19" x14ac:dyDescent="0.3">
      <c r="A34" s="13" t="s">
        <v>203</v>
      </c>
      <c r="B34" s="14" t="s">
        <v>160</v>
      </c>
      <c r="C34" s="13" t="s">
        <v>161</v>
      </c>
      <c r="D34" s="14" t="s">
        <v>204</v>
      </c>
      <c r="E34" s="14" t="s">
        <v>205</v>
      </c>
      <c r="F34" s="14" t="s">
        <v>206</v>
      </c>
      <c r="G34" s="13" t="s">
        <v>207</v>
      </c>
      <c r="H34" s="13" t="s">
        <v>53</v>
      </c>
      <c r="I34" s="15">
        <v>0.75</v>
      </c>
      <c r="J34" s="14"/>
      <c r="K34" s="13" t="s">
        <v>54</v>
      </c>
      <c r="L34" s="13">
        <f>IF(K34="Có","Chờ",ROUNDUP(SUMIFS($I$5:I34,$K$5:K34,"Không")/'Hướng dẫn'!$C$7,0))</f>
        <v>4</v>
      </c>
      <c r="M34" s="16">
        <f>IF(ISNUMBER(L34),WORKDAY('Hướng dẫn'!$C$6,L34-1),"")</f>
        <v>46325</v>
      </c>
      <c r="N34" s="17"/>
      <c r="O34" s="18"/>
      <c r="P34" s="17" t="s">
        <v>55</v>
      </c>
      <c r="Q34" s="17"/>
      <c r="R34" s="20" t="s">
        <v>208</v>
      </c>
      <c r="S34" s="20" t="str">
        <f>IF(K34="Có",COUNTIF($K$5:K34,"Có"),"")</f>
        <v/>
      </c>
    </row>
    <row r="35" spans="1:19" ht="26.4" x14ac:dyDescent="0.3">
      <c r="A35" s="13" t="s">
        <v>209</v>
      </c>
      <c r="B35" s="14" t="s">
        <v>160</v>
      </c>
      <c r="C35" s="13" t="s">
        <v>161</v>
      </c>
      <c r="D35" s="14" t="s">
        <v>210</v>
      </c>
      <c r="E35" s="14" t="s">
        <v>211</v>
      </c>
      <c r="F35" s="14" t="s">
        <v>212</v>
      </c>
      <c r="G35" s="13" t="s">
        <v>213</v>
      </c>
      <c r="H35" s="13" t="s">
        <v>53</v>
      </c>
      <c r="I35" s="15">
        <v>1</v>
      </c>
      <c r="J35" s="14"/>
      <c r="K35" s="13" t="s">
        <v>54</v>
      </c>
      <c r="L35" s="13">
        <f>IF(K35="Có","Chờ",ROUNDUP(SUMIFS($I$5:I35,$K$5:K35,"Không")/'Hướng dẫn'!$C$7,0))</f>
        <v>4</v>
      </c>
      <c r="M35" s="16">
        <f>IF(ISNUMBER(L35),WORKDAY('Hướng dẫn'!$C$6,L35-1),"")</f>
        <v>46325</v>
      </c>
      <c r="N35" s="17"/>
      <c r="O35" s="18"/>
      <c r="P35" s="17" t="s">
        <v>55</v>
      </c>
      <c r="Q35" s="17"/>
      <c r="R35" s="20" t="s">
        <v>214</v>
      </c>
      <c r="S35" s="20" t="str">
        <f>IF(K35="Có",COUNTIF($K$5:K35,"Có"),"")</f>
        <v/>
      </c>
    </row>
    <row r="36" spans="1:19" x14ac:dyDescent="0.3">
      <c r="A36" s="13" t="s">
        <v>215</v>
      </c>
      <c r="B36" s="14" t="s">
        <v>160</v>
      </c>
      <c r="C36" s="13" t="s">
        <v>161</v>
      </c>
      <c r="D36" s="14" t="s">
        <v>216</v>
      </c>
      <c r="E36" s="14" t="s">
        <v>217</v>
      </c>
      <c r="F36" s="14" t="s">
        <v>218</v>
      </c>
      <c r="G36" s="13" t="s">
        <v>219</v>
      </c>
      <c r="H36" s="13" t="s">
        <v>53</v>
      </c>
      <c r="I36" s="15">
        <v>0.5</v>
      </c>
      <c r="J36" s="14"/>
      <c r="K36" s="13" t="s">
        <v>54</v>
      </c>
      <c r="L36" s="13">
        <f>IF(K36="Có","Chờ",ROUNDUP(SUMIFS($I$5:I36,$K$5:K36,"Không")/'Hướng dẫn'!$C$7,0))</f>
        <v>4</v>
      </c>
      <c r="M36" s="16">
        <f>IF(ISNUMBER(L36),WORKDAY('Hướng dẫn'!$C$6,L36-1),"")</f>
        <v>46325</v>
      </c>
      <c r="N36" s="17"/>
      <c r="O36" s="18"/>
      <c r="P36" s="17" t="s">
        <v>55</v>
      </c>
      <c r="Q36" s="17"/>
      <c r="R36" s="20" t="s">
        <v>220</v>
      </c>
      <c r="S36" s="20" t="str">
        <f>IF(K36="Có",COUNTIF($K$5:K36,"Có"),"")</f>
        <v/>
      </c>
    </row>
    <row r="37" spans="1:19" x14ac:dyDescent="0.3">
      <c r="A37" s="13" t="s">
        <v>221</v>
      </c>
      <c r="B37" s="14" t="s">
        <v>160</v>
      </c>
      <c r="C37" s="13" t="s">
        <v>161</v>
      </c>
      <c r="D37" s="14" t="s">
        <v>222</v>
      </c>
      <c r="E37" s="14" t="s">
        <v>223</v>
      </c>
      <c r="F37" s="14" t="s">
        <v>224</v>
      </c>
      <c r="G37" s="13" t="s">
        <v>225</v>
      </c>
      <c r="H37" s="13" t="s">
        <v>65</v>
      </c>
      <c r="I37" s="15">
        <v>0.5</v>
      </c>
      <c r="J37" s="14"/>
      <c r="K37" s="13" t="s">
        <v>54</v>
      </c>
      <c r="L37" s="13">
        <f>IF(K37="Có","Chờ",ROUNDUP(SUMIFS($I$5:I37,$K$5:K37,"Không")/'Hướng dẫn'!$C$7,0))</f>
        <v>4</v>
      </c>
      <c r="M37" s="16">
        <f>IF(ISNUMBER(L37),WORKDAY('Hướng dẫn'!$C$6,L37-1),"")</f>
        <v>46325</v>
      </c>
      <c r="N37" s="17"/>
      <c r="O37" s="18"/>
      <c r="P37" s="17" t="s">
        <v>55</v>
      </c>
      <c r="Q37" s="17"/>
      <c r="R37" s="20" t="s">
        <v>226</v>
      </c>
      <c r="S37" s="20" t="str">
        <f>IF(K37="Có",COUNTIF($K$5:K37,"Có"),"")</f>
        <v/>
      </c>
    </row>
    <row r="38" spans="1:19" ht="26.4" x14ac:dyDescent="0.3">
      <c r="A38" s="13" t="s">
        <v>227</v>
      </c>
      <c r="B38" s="14" t="s">
        <v>160</v>
      </c>
      <c r="C38" s="13" t="s">
        <v>161</v>
      </c>
      <c r="D38" s="14" t="s">
        <v>228</v>
      </c>
      <c r="E38" s="14" t="s">
        <v>229</v>
      </c>
      <c r="F38" s="14" t="s">
        <v>230</v>
      </c>
      <c r="G38" s="13"/>
      <c r="H38" s="13" t="s">
        <v>53</v>
      </c>
      <c r="I38" s="15">
        <v>0.75</v>
      </c>
      <c r="J38" s="14"/>
      <c r="K38" s="13" t="s">
        <v>54</v>
      </c>
      <c r="L38" s="13">
        <f>IF(K38="Có","Chờ",ROUNDUP(SUMIFS($I$5:I38,$K$5:K38,"Không")/'Hướng dẫn'!$C$7,0))</f>
        <v>4</v>
      </c>
      <c r="M38" s="16">
        <f>IF(ISNUMBER(L38),WORKDAY('Hướng dẫn'!$C$6,L38-1),"")</f>
        <v>46325</v>
      </c>
      <c r="N38" s="17"/>
      <c r="O38" s="18"/>
      <c r="P38" s="17" t="s">
        <v>55</v>
      </c>
      <c r="Q38" s="17"/>
      <c r="R38" s="20"/>
      <c r="S38" s="20" t="str">
        <f>IF(K38="Có",COUNTIF($K$5:K38,"Có"),"")</f>
        <v/>
      </c>
    </row>
    <row r="39" spans="1:19" ht="26.4" x14ac:dyDescent="0.3">
      <c r="A39" s="13" t="s">
        <v>231</v>
      </c>
      <c r="B39" s="14" t="s">
        <v>160</v>
      </c>
      <c r="C39" s="13" t="s">
        <v>161</v>
      </c>
      <c r="D39" s="14" t="s">
        <v>232</v>
      </c>
      <c r="E39" s="14" t="s">
        <v>233</v>
      </c>
      <c r="F39" s="14" t="s">
        <v>234</v>
      </c>
      <c r="G39" s="13"/>
      <c r="H39" s="13" t="s">
        <v>70</v>
      </c>
      <c r="I39" s="15">
        <v>0.75</v>
      </c>
      <c r="J39" s="14"/>
      <c r="K39" s="13" t="s">
        <v>54</v>
      </c>
      <c r="L39" s="13">
        <f>IF(K39="Có","Chờ",ROUNDUP(SUMIFS($I$5:I39,$K$5:K39,"Không")/'Hướng dẫn'!$C$7,0))</f>
        <v>4</v>
      </c>
      <c r="M39" s="16">
        <f>IF(ISNUMBER(L39),WORKDAY('Hướng dẫn'!$C$6,L39-1),"")</f>
        <v>46325</v>
      </c>
      <c r="N39" s="17"/>
      <c r="O39" s="18"/>
      <c r="P39" s="17" t="s">
        <v>55</v>
      </c>
      <c r="Q39" s="17"/>
      <c r="R39" s="20"/>
      <c r="S39" s="20" t="str">
        <f>IF(K39="Có",COUNTIF($K$5:K39,"Có"),"")</f>
        <v/>
      </c>
    </row>
    <row r="40" spans="1:19" ht="26.4" x14ac:dyDescent="0.3">
      <c r="A40" s="13" t="s">
        <v>235</v>
      </c>
      <c r="B40" s="14" t="s">
        <v>160</v>
      </c>
      <c r="C40" s="13" t="s">
        <v>236</v>
      </c>
      <c r="D40" s="14" t="s">
        <v>237</v>
      </c>
      <c r="E40" s="14" t="s">
        <v>238</v>
      </c>
      <c r="F40" s="14" t="s">
        <v>239</v>
      </c>
      <c r="G40" s="13" t="s">
        <v>240</v>
      </c>
      <c r="H40" s="13" t="s">
        <v>53</v>
      </c>
      <c r="I40" s="15">
        <v>1</v>
      </c>
      <c r="J40" s="14"/>
      <c r="K40" s="13" t="s">
        <v>54</v>
      </c>
      <c r="L40" s="13">
        <f>IF(K40="Có","Chờ",ROUNDUP(SUMIFS($I$5:I40,$K$5:K40,"Không")/'Hướng dẫn'!$C$7,0))</f>
        <v>5</v>
      </c>
      <c r="M40" s="16">
        <f>IF(ISNUMBER(L40),WORKDAY('Hướng dẫn'!$C$6,L40-1),"")</f>
        <v>46328</v>
      </c>
      <c r="N40" s="17"/>
      <c r="O40" s="18"/>
      <c r="P40" s="17" t="s">
        <v>55</v>
      </c>
      <c r="Q40" s="17"/>
      <c r="R40" s="20" t="s">
        <v>241</v>
      </c>
      <c r="S40" s="20" t="str">
        <f>IF(K40="Có",COUNTIF($K$5:K40,"Có"),"")</f>
        <v/>
      </c>
    </row>
    <row r="41" spans="1:19" ht="26.4" x14ac:dyDescent="0.3">
      <c r="A41" s="13" t="s">
        <v>242</v>
      </c>
      <c r="B41" s="14" t="s">
        <v>243</v>
      </c>
      <c r="C41" s="13" t="s">
        <v>244</v>
      </c>
      <c r="D41" s="14" t="s">
        <v>245</v>
      </c>
      <c r="E41" s="14" t="s">
        <v>246</v>
      </c>
      <c r="F41" s="14" t="s">
        <v>247</v>
      </c>
      <c r="G41" s="13" t="s">
        <v>248</v>
      </c>
      <c r="H41" s="13" t="s">
        <v>53</v>
      </c>
      <c r="I41" s="15">
        <v>0.75</v>
      </c>
      <c r="J41" s="14"/>
      <c r="K41" s="13" t="s">
        <v>54</v>
      </c>
      <c r="L41" s="13">
        <f>IF(K41="Có","Chờ",ROUNDUP(SUMIFS($I$5:I41,$K$5:K41,"Không")/'Hướng dẫn'!$C$7,0))</f>
        <v>5</v>
      </c>
      <c r="M41" s="16">
        <f>IF(ISNUMBER(L41),WORKDAY('Hướng dẫn'!$C$6,L41-1),"")</f>
        <v>46328</v>
      </c>
      <c r="N41" s="17"/>
      <c r="O41" s="18"/>
      <c r="P41" s="17" t="s">
        <v>55</v>
      </c>
      <c r="Q41" s="17"/>
      <c r="R41" s="20" t="s">
        <v>249</v>
      </c>
      <c r="S41" s="20" t="str">
        <f>IF(K41="Có",COUNTIF($K$5:K41,"Có"),"")</f>
        <v/>
      </c>
    </row>
    <row r="42" spans="1:19" ht="26.4" x14ac:dyDescent="0.3">
      <c r="A42" s="13" t="s">
        <v>250</v>
      </c>
      <c r="B42" s="14" t="s">
        <v>243</v>
      </c>
      <c r="C42" s="13" t="s">
        <v>244</v>
      </c>
      <c r="D42" s="14" t="s">
        <v>251</v>
      </c>
      <c r="E42" s="14" t="s">
        <v>252</v>
      </c>
      <c r="F42" s="14" t="s">
        <v>253</v>
      </c>
      <c r="G42" s="13" t="s">
        <v>248</v>
      </c>
      <c r="H42" s="13" t="s">
        <v>53</v>
      </c>
      <c r="I42" s="15">
        <v>1</v>
      </c>
      <c r="J42" s="14"/>
      <c r="K42" s="13" t="s">
        <v>54</v>
      </c>
      <c r="L42" s="13">
        <f>IF(K42="Có","Chờ",ROUNDUP(SUMIFS($I$5:I42,$K$5:K42,"Không")/'Hướng dẫn'!$C$7,0))</f>
        <v>5</v>
      </c>
      <c r="M42" s="16">
        <f>IF(ISNUMBER(L42),WORKDAY('Hướng dẫn'!$C$6,L42-1),"")</f>
        <v>46328</v>
      </c>
      <c r="N42" s="17"/>
      <c r="O42" s="18"/>
      <c r="P42" s="17" t="s">
        <v>55</v>
      </c>
      <c r="Q42" s="17"/>
      <c r="R42" s="20" t="s">
        <v>249</v>
      </c>
      <c r="S42" s="20" t="str">
        <f>IF(K42="Có",COUNTIF($K$5:K42,"Có"),"")</f>
        <v/>
      </c>
    </row>
    <row r="43" spans="1:19" ht="26.4" x14ac:dyDescent="0.3">
      <c r="A43" s="13" t="s">
        <v>254</v>
      </c>
      <c r="B43" s="14" t="s">
        <v>243</v>
      </c>
      <c r="C43" s="13" t="s">
        <v>244</v>
      </c>
      <c r="D43" s="14" t="s">
        <v>255</v>
      </c>
      <c r="E43" s="14" t="s">
        <v>256</v>
      </c>
      <c r="F43" s="14" t="s">
        <v>257</v>
      </c>
      <c r="G43" s="13"/>
      <c r="H43" s="13" t="s">
        <v>53</v>
      </c>
      <c r="I43" s="15">
        <v>0.75</v>
      </c>
      <c r="J43" s="14"/>
      <c r="K43" s="13" t="s">
        <v>54</v>
      </c>
      <c r="L43" s="13">
        <f>IF(K43="Có","Chờ",ROUNDUP(SUMIFS($I$5:I43,$K$5:K43,"Không")/'Hướng dẫn'!$C$7,0))</f>
        <v>5</v>
      </c>
      <c r="M43" s="16">
        <f>IF(ISNUMBER(L43),WORKDAY('Hướng dẫn'!$C$6,L43-1),"")</f>
        <v>46328</v>
      </c>
      <c r="N43" s="17"/>
      <c r="O43" s="18"/>
      <c r="P43" s="17" t="s">
        <v>55</v>
      </c>
      <c r="Q43" s="17"/>
      <c r="R43" s="20"/>
      <c r="S43" s="20" t="str">
        <f>IF(K43="Có",COUNTIF($K$5:K43,"Có"),"")</f>
        <v/>
      </c>
    </row>
    <row r="44" spans="1:19" ht="26.4" x14ac:dyDescent="0.3">
      <c r="A44" s="13" t="s">
        <v>258</v>
      </c>
      <c r="B44" s="14" t="s">
        <v>243</v>
      </c>
      <c r="C44" s="13" t="s">
        <v>244</v>
      </c>
      <c r="D44" s="14" t="s">
        <v>259</v>
      </c>
      <c r="E44" s="14" t="s">
        <v>260</v>
      </c>
      <c r="F44" s="14" t="s">
        <v>261</v>
      </c>
      <c r="G44" s="13" t="s">
        <v>118</v>
      </c>
      <c r="H44" s="13" t="s">
        <v>53</v>
      </c>
      <c r="I44" s="15">
        <v>1</v>
      </c>
      <c r="J44" s="14"/>
      <c r="K44" s="13" t="s">
        <v>54</v>
      </c>
      <c r="L44" s="13">
        <f>IF(K44="Có","Chờ",ROUNDUP(SUMIFS($I$5:I44,$K$5:K44,"Không")/'Hướng dẫn'!$C$7,0))</f>
        <v>5</v>
      </c>
      <c r="M44" s="16">
        <f>IF(ISNUMBER(L44),WORKDAY('Hướng dẫn'!$C$6,L44-1),"")</f>
        <v>46328</v>
      </c>
      <c r="N44" s="17"/>
      <c r="O44" s="18"/>
      <c r="P44" s="17" t="s">
        <v>55</v>
      </c>
      <c r="Q44" s="17"/>
      <c r="R44" s="20" t="s">
        <v>119</v>
      </c>
      <c r="S44" s="20" t="str">
        <f>IF(K44="Có",COUNTIF($K$5:K44,"Có"),"")</f>
        <v/>
      </c>
    </row>
    <row r="45" spans="1:19" ht="26.4" x14ac:dyDescent="0.3">
      <c r="A45" s="13" t="s">
        <v>262</v>
      </c>
      <c r="B45" s="14" t="s">
        <v>243</v>
      </c>
      <c r="C45" s="13" t="s">
        <v>244</v>
      </c>
      <c r="D45" s="14" t="s">
        <v>263</v>
      </c>
      <c r="E45" s="14" t="s">
        <v>264</v>
      </c>
      <c r="F45" s="14" t="s">
        <v>265</v>
      </c>
      <c r="G45" s="13" t="s">
        <v>112</v>
      </c>
      <c r="H45" s="13" t="s">
        <v>53</v>
      </c>
      <c r="I45" s="15">
        <v>0.75</v>
      </c>
      <c r="J45" s="14"/>
      <c r="K45" s="13" t="s">
        <v>54</v>
      </c>
      <c r="L45" s="13">
        <f>IF(K45="Có","Chờ",ROUNDUP(SUMIFS($I$5:I45,$K$5:K45,"Không")/'Hướng dẫn'!$C$7,0))</f>
        <v>5</v>
      </c>
      <c r="M45" s="16">
        <f>IF(ISNUMBER(L45),WORKDAY('Hướng dẫn'!$C$6,L45-1),"")</f>
        <v>46328</v>
      </c>
      <c r="N45" s="17"/>
      <c r="O45" s="18"/>
      <c r="P45" s="17" t="s">
        <v>55</v>
      </c>
      <c r="Q45" s="17"/>
      <c r="R45" s="20" t="s">
        <v>113</v>
      </c>
      <c r="S45" s="20" t="str">
        <f>IF(K45="Có",COUNTIF($K$5:K45,"Có"),"")</f>
        <v/>
      </c>
    </row>
    <row r="46" spans="1:19" ht="39.6" x14ac:dyDescent="0.3">
      <c r="A46" s="13" t="s">
        <v>266</v>
      </c>
      <c r="B46" s="14" t="s">
        <v>243</v>
      </c>
      <c r="C46" s="13" t="s">
        <v>244</v>
      </c>
      <c r="D46" s="14" t="s">
        <v>267</v>
      </c>
      <c r="E46" s="14" t="s">
        <v>268</v>
      </c>
      <c r="F46" s="14" t="s">
        <v>269</v>
      </c>
      <c r="G46" s="13" t="s">
        <v>270</v>
      </c>
      <c r="H46" s="13" t="s">
        <v>53</v>
      </c>
      <c r="I46" s="15">
        <v>0.75</v>
      </c>
      <c r="J46" s="14"/>
      <c r="K46" s="13" t="s">
        <v>54</v>
      </c>
      <c r="L46" s="13">
        <f>IF(K46="Có","Chờ",ROUNDUP(SUMIFS($I$5:I46,$K$5:K46,"Không")/'Hướng dẫn'!$C$7,0))</f>
        <v>5</v>
      </c>
      <c r="M46" s="16">
        <f>IF(ISNUMBER(L46),WORKDAY('Hướng dẫn'!$C$6,L46-1),"")</f>
        <v>46328</v>
      </c>
      <c r="N46" s="17"/>
      <c r="O46" s="18"/>
      <c r="P46" s="17" t="s">
        <v>55</v>
      </c>
      <c r="Q46" s="17"/>
      <c r="R46" s="20" t="s">
        <v>271</v>
      </c>
      <c r="S46" s="20" t="str">
        <f>IF(K46="Có",COUNTIF($K$5:K46,"Có"),"")</f>
        <v/>
      </c>
    </row>
    <row r="47" spans="1:19" ht="26.4" x14ac:dyDescent="0.3">
      <c r="A47" s="13" t="s">
        <v>272</v>
      </c>
      <c r="B47" s="14" t="s">
        <v>243</v>
      </c>
      <c r="C47" s="13" t="s">
        <v>244</v>
      </c>
      <c r="D47" s="14" t="s">
        <v>273</v>
      </c>
      <c r="E47" s="14" t="s">
        <v>274</v>
      </c>
      <c r="F47" s="14" t="s">
        <v>275</v>
      </c>
      <c r="G47" s="13" t="s">
        <v>189</v>
      </c>
      <c r="H47" s="13" t="s">
        <v>53</v>
      </c>
      <c r="I47" s="15">
        <v>1</v>
      </c>
      <c r="J47" s="14"/>
      <c r="K47" s="13" t="s">
        <v>54</v>
      </c>
      <c r="L47" s="13">
        <f>IF(K47="Có","Chờ",ROUNDUP(SUMIFS($I$5:I47,$K$5:K47,"Không")/'Hướng dẫn'!$C$7,0))</f>
        <v>6</v>
      </c>
      <c r="M47" s="16">
        <f>IF(ISNUMBER(L47),WORKDAY('Hướng dẫn'!$C$6,L47-1),"")</f>
        <v>46329</v>
      </c>
      <c r="N47" s="17"/>
      <c r="O47" s="18"/>
      <c r="P47" s="17" t="s">
        <v>55</v>
      </c>
      <c r="Q47" s="17"/>
      <c r="R47" s="20" t="s">
        <v>190</v>
      </c>
      <c r="S47" s="20" t="str">
        <f>IF(K47="Có",COUNTIF($K$5:K47,"Có"),"")</f>
        <v/>
      </c>
    </row>
    <row r="48" spans="1:19" ht="26.4" x14ac:dyDescent="0.3">
      <c r="A48" s="13" t="s">
        <v>276</v>
      </c>
      <c r="B48" s="14" t="s">
        <v>243</v>
      </c>
      <c r="C48" s="13" t="s">
        <v>244</v>
      </c>
      <c r="D48" s="14" t="s">
        <v>277</v>
      </c>
      <c r="E48" s="14" t="s">
        <v>278</v>
      </c>
      <c r="F48" s="14" t="s">
        <v>279</v>
      </c>
      <c r="G48" s="13" t="s">
        <v>280</v>
      </c>
      <c r="H48" s="13" t="s">
        <v>53</v>
      </c>
      <c r="I48" s="15">
        <v>0.75</v>
      </c>
      <c r="J48" s="14"/>
      <c r="K48" s="13" t="s">
        <v>54</v>
      </c>
      <c r="L48" s="13">
        <f>IF(K48="Có","Chờ",ROUNDUP(SUMIFS($I$5:I48,$K$5:K48,"Không")/'Hướng dẫn'!$C$7,0))</f>
        <v>6</v>
      </c>
      <c r="M48" s="16">
        <f>IF(ISNUMBER(L48),WORKDAY('Hướng dẫn'!$C$6,L48-1),"")</f>
        <v>46329</v>
      </c>
      <c r="N48" s="17"/>
      <c r="O48" s="18"/>
      <c r="P48" s="17" t="s">
        <v>55</v>
      </c>
      <c r="Q48" s="17"/>
      <c r="R48" s="20" t="s">
        <v>281</v>
      </c>
      <c r="S48" s="20" t="str">
        <f>IF(K48="Có",COUNTIF($K$5:K48,"Có"),"")</f>
        <v/>
      </c>
    </row>
    <row r="49" spans="1:19" ht="26.4" x14ac:dyDescent="0.3">
      <c r="A49" s="13" t="s">
        <v>282</v>
      </c>
      <c r="B49" s="14" t="s">
        <v>243</v>
      </c>
      <c r="C49" s="13" t="s">
        <v>244</v>
      </c>
      <c r="D49" s="14" t="s">
        <v>283</v>
      </c>
      <c r="E49" s="14" t="s">
        <v>284</v>
      </c>
      <c r="F49" s="14" t="s">
        <v>285</v>
      </c>
      <c r="G49" s="13" t="s">
        <v>286</v>
      </c>
      <c r="H49" s="13" t="s">
        <v>53</v>
      </c>
      <c r="I49" s="15">
        <v>0.75</v>
      </c>
      <c r="J49" s="14"/>
      <c r="K49" s="13" t="s">
        <v>54</v>
      </c>
      <c r="L49" s="13">
        <f>IF(K49="Có","Chờ",ROUNDUP(SUMIFS($I$5:I49,$K$5:K49,"Không")/'Hướng dẫn'!$C$7,0))</f>
        <v>6</v>
      </c>
      <c r="M49" s="16">
        <f>IF(ISNUMBER(L49),WORKDAY('Hướng dẫn'!$C$6,L49-1),"")</f>
        <v>46329</v>
      </c>
      <c r="N49" s="17"/>
      <c r="O49" s="18"/>
      <c r="P49" s="17" t="s">
        <v>55</v>
      </c>
      <c r="Q49" s="17"/>
      <c r="R49" s="20" t="s">
        <v>287</v>
      </c>
      <c r="S49" s="20" t="str">
        <f>IF(K49="Có",COUNTIF($K$5:K49,"Có"),"")</f>
        <v/>
      </c>
    </row>
    <row r="50" spans="1:19" ht="26.4" x14ac:dyDescent="0.3">
      <c r="A50" s="13" t="s">
        <v>288</v>
      </c>
      <c r="B50" s="14" t="s">
        <v>243</v>
      </c>
      <c r="C50" s="13" t="s">
        <v>244</v>
      </c>
      <c r="D50" s="14" t="s">
        <v>289</v>
      </c>
      <c r="E50" s="14" t="s">
        <v>290</v>
      </c>
      <c r="F50" s="14" t="s">
        <v>291</v>
      </c>
      <c r="G50" s="13"/>
      <c r="H50" s="13" t="s">
        <v>53</v>
      </c>
      <c r="I50" s="15">
        <v>0.5</v>
      </c>
      <c r="J50" s="14"/>
      <c r="K50" s="13" t="s">
        <v>54</v>
      </c>
      <c r="L50" s="13">
        <f>IF(K50="Có","Chờ",ROUNDUP(SUMIFS($I$5:I50,$K$5:K50,"Không")/'Hướng dẫn'!$C$7,0))</f>
        <v>6</v>
      </c>
      <c r="M50" s="16">
        <f>IF(ISNUMBER(L50),WORKDAY('Hướng dẫn'!$C$6,L50-1),"")</f>
        <v>46329</v>
      </c>
      <c r="N50" s="17"/>
      <c r="O50" s="18"/>
      <c r="P50" s="17" t="s">
        <v>55</v>
      </c>
      <c r="Q50" s="17"/>
      <c r="R50" s="20"/>
      <c r="S50" s="20" t="str">
        <f>IF(K50="Có",COUNTIF($K$5:K50,"Có"),"")</f>
        <v/>
      </c>
    </row>
    <row r="51" spans="1:19" ht="26.4" x14ac:dyDescent="0.3">
      <c r="A51" s="13" t="s">
        <v>292</v>
      </c>
      <c r="B51" s="14" t="s">
        <v>243</v>
      </c>
      <c r="C51" s="13" t="s">
        <v>244</v>
      </c>
      <c r="D51" s="14" t="s">
        <v>293</v>
      </c>
      <c r="E51" s="14" t="s">
        <v>294</v>
      </c>
      <c r="F51" s="14" t="s">
        <v>295</v>
      </c>
      <c r="G51" s="13"/>
      <c r="H51" s="13" t="s">
        <v>70</v>
      </c>
      <c r="I51" s="15">
        <v>0.25</v>
      </c>
      <c r="J51" s="14"/>
      <c r="K51" s="13" t="s">
        <v>54</v>
      </c>
      <c r="L51" s="13">
        <f>IF(K51="Có","Chờ",ROUNDUP(SUMIFS($I$5:I51,$K$5:K51,"Không")/'Hướng dẫn'!$C$7,0))</f>
        <v>6</v>
      </c>
      <c r="M51" s="16">
        <f>IF(ISNUMBER(L51),WORKDAY('Hướng dẫn'!$C$6,L51-1),"")</f>
        <v>46329</v>
      </c>
      <c r="N51" s="17"/>
      <c r="O51" s="18"/>
      <c r="P51" s="17" t="s">
        <v>55</v>
      </c>
      <c r="Q51" s="17"/>
      <c r="R51" s="20"/>
      <c r="S51" s="20" t="str">
        <f>IF(K51="Có",COUNTIF($K$5:K51,"Có"),"")</f>
        <v/>
      </c>
    </row>
    <row r="52" spans="1:19" ht="26.4" x14ac:dyDescent="0.3">
      <c r="A52" s="13" t="s">
        <v>296</v>
      </c>
      <c r="B52" s="14" t="s">
        <v>243</v>
      </c>
      <c r="C52" s="13" t="s">
        <v>244</v>
      </c>
      <c r="D52" s="14" t="s">
        <v>297</v>
      </c>
      <c r="E52" s="14" t="s">
        <v>298</v>
      </c>
      <c r="F52" s="14" t="s">
        <v>299</v>
      </c>
      <c r="G52" s="13" t="s">
        <v>300</v>
      </c>
      <c r="H52" s="13" t="s">
        <v>53</v>
      </c>
      <c r="I52" s="15">
        <v>0.75</v>
      </c>
      <c r="J52" s="14"/>
      <c r="K52" s="13" t="s">
        <v>54</v>
      </c>
      <c r="L52" s="13">
        <f>IF(K52="Có","Chờ",ROUNDUP(SUMIFS($I$5:I52,$K$5:K52,"Không")/'Hướng dẫn'!$C$7,0))</f>
        <v>6</v>
      </c>
      <c r="M52" s="16">
        <f>IF(ISNUMBER(L52),WORKDAY('Hướng dẫn'!$C$6,L52-1),"")</f>
        <v>46329</v>
      </c>
      <c r="N52" s="17"/>
      <c r="O52" s="18"/>
      <c r="P52" s="17" t="s">
        <v>55</v>
      </c>
      <c r="Q52" s="17"/>
      <c r="R52" s="20" t="s">
        <v>301</v>
      </c>
      <c r="S52" s="20" t="str">
        <f>IF(K52="Có",COUNTIF($K$5:K52,"Có"),"")</f>
        <v/>
      </c>
    </row>
    <row r="53" spans="1:19" ht="26.4" x14ac:dyDescent="0.3">
      <c r="A53" s="13" t="s">
        <v>302</v>
      </c>
      <c r="B53" s="14" t="s">
        <v>243</v>
      </c>
      <c r="C53" s="13" t="s">
        <v>244</v>
      </c>
      <c r="D53" s="14" t="s">
        <v>303</v>
      </c>
      <c r="E53" s="14" t="s">
        <v>304</v>
      </c>
      <c r="F53" s="14" t="s">
        <v>305</v>
      </c>
      <c r="G53" s="13"/>
      <c r="H53" s="13" t="s">
        <v>70</v>
      </c>
      <c r="I53" s="15">
        <v>0.5</v>
      </c>
      <c r="J53" s="14"/>
      <c r="K53" s="13" t="s">
        <v>54</v>
      </c>
      <c r="L53" s="13">
        <f>IF(K53="Có","Chờ",ROUNDUP(SUMIFS($I$5:I53,$K$5:K53,"Không")/'Hướng dẫn'!$C$7,0))</f>
        <v>6</v>
      </c>
      <c r="M53" s="16">
        <f>IF(ISNUMBER(L53),WORKDAY('Hướng dẫn'!$C$6,L53-1),"")</f>
        <v>46329</v>
      </c>
      <c r="N53" s="17"/>
      <c r="O53" s="18"/>
      <c r="P53" s="17" t="s">
        <v>55</v>
      </c>
      <c r="Q53" s="17"/>
      <c r="R53" s="20"/>
      <c r="S53" s="20" t="str">
        <f>IF(K53="Có",COUNTIF($K$5:K53,"Có"),"")</f>
        <v/>
      </c>
    </row>
    <row r="54" spans="1:19" ht="26.4" x14ac:dyDescent="0.3">
      <c r="A54" s="13" t="s">
        <v>306</v>
      </c>
      <c r="B54" s="14" t="s">
        <v>243</v>
      </c>
      <c r="C54" s="13" t="s">
        <v>244</v>
      </c>
      <c r="D54" s="14" t="s">
        <v>307</v>
      </c>
      <c r="E54" s="14" t="s">
        <v>308</v>
      </c>
      <c r="F54" s="14" t="s">
        <v>309</v>
      </c>
      <c r="G54" s="13" t="s">
        <v>144</v>
      </c>
      <c r="H54" s="13" t="s">
        <v>53</v>
      </c>
      <c r="I54" s="15">
        <v>0.75</v>
      </c>
      <c r="J54" s="14" t="s">
        <v>310</v>
      </c>
      <c r="K54" s="13" t="s">
        <v>54</v>
      </c>
      <c r="L54" s="13">
        <f>IF(K54="Có","Chờ",ROUNDUP(SUMIFS($I$5:I54,$K$5:K54,"Không")/'Hướng dẫn'!$C$7,0))</f>
        <v>6</v>
      </c>
      <c r="M54" s="16">
        <f>IF(ISNUMBER(L54),WORKDAY('Hướng dẫn'!$C$6,L54-1),"")</f>
        <v>46329</v>
      </c>
      <c r="N54" s="17"/>
      <c r="O54" s="18"/>
      <c r="P54" s="17" t="s">
        <v>55</v>
      </c>
      <c r="Q54" s="17"/>
      <c r="R54" s="20" t="s">
        <v>145</v>
      </c>
      <c r="S54" s="20" t="str">
        <f>IF(K54="Có",COUNTIF($K$5:K54,"Có"),"")</f>
        <v/>
      </c>
    </row>
    <row r="55" spans="1:19" ht="26.4" x14ac:dyDescent="0.3">
      <c r="A55" s="13" t="s">
        <v>311</v>
      </c>
      <c r="B55" s="14" t="s">
        <v>243</v>
      </c>
      <c r="C55" s="13" t="s">
        <v>244</v>
      </c>
      <c r="D55" s="14" t="s">
        <v>312</v>
      </c>
      <c r="E55" s="14" t="s">
        <v>313</v>
      </c>
      <c r="F55" s="14" t="s">
        <v>314</v>
      </c>
      <c r="G55" s="13"/>
      <c r="H55" s="13" t="s">
        <v>53</v>
      </c>
      <c r="I55" s="15">
        <v>1</v>
      </c>
      <c r="J55" s="14"/>
      <c r="K55" s="13" t="s">
        <v>54</v>
      </c>
      <c r="L55" s="13">
        <f>IF(K55="Có","Chờ",ROUNDUP(SUMIFS($I$5:I55,$K$5:K55,"Không")/'Hướng dẫn'!$C$7,0))</f>
        <v>6</v>
      </c>
      <c r="M55" s="16">
        <f>IF(ISNUMBER(L55),WORKDAY('Hướng dẫn'!$C$6,L55-1),"")</f>
        <v>46329</v>
      </c>
      <c r="N55" s="17"/>
      <c r="O55" s="18"/>
      <c r="P55" s="17" t="s">
        <v>55</v>
      </c>
      <c r="Q55" s="17"/>
      <c r="R55" s="20"/>
      <c r="S55" s="20" t="str">
        <f>IF(K55="Có",COUNTIF($K$5:K55,"Có"),"")</f>
        <v/>
      </c>
    </row>
    <row r="56" spans="1:19" ht="26.4" x14ac:dyDescent="0.3">
      <c r="A56" s="13" t="s">
        <v>315</v>
      </c>
      <c r="B56" s="14" t="s">
        <v>243</v>
      </c>
      <c r="C56" s="13" t="s">
        <v>244</v>
      </c>
      <c r="D56" s="14" t="s">
        <v>316</v>
      </c>
      <c r="E56" s="14" t="s">
        <v>317</v>
      </c>
      <c r="F56" s="14" t="s">
        <v>318</v>
      </c>
      <c r="G56" s="13" t="s">
        <v>319</v>
      </c>
      <c r="H56" s="13" t="s">
        <v>53</v>
      </c>
      <c r="I56" s="15">
        <v>0.5</v>
      </c>
      <c r="J56" s="14"/>
      <c r="K56" s="13" t="s">
        <v>54</v>
      </c>
      <c r="L56" s="13">
        <f>IF(K56="Có","Chờ",ROUNDUP(SUMIFS($I$5:I56,$K$5:K56,"Không")/'Hướng dẫn'!$C$7,0))</f>
        <v>7</v>
      </c>
      <c r="M56" s="16">
        <f>IF(ISNUMBER(L56),WORKDAY('Hướng dẫn'!$C$6,L56-1),"")</f>
        <v>46330</v>
      </c>
      <c r="N56" s="17"/>
      <c r="O56" s="18"/>
      <c r="P56" s="17" t="s">
        <v>55</v>
      </c>
      <c r="Q56" s="17"/>
      <c r="R56" s="20" t="s">
        <v>320</v>
      </c>
      <c r="S56" s="20" t="str">
        <f>IF(K56="Có",COUNTIF($K$5:K56,"Có"),"")</f>
        <v/>
      </c>
    </row>
    <row r="57" spans="1:19" ht="26.4" x14ac:dyDescent="0.3">
      <c r="A57" s="13" t="s">
        <v>321</v>
      </c>
      <c r="B57" s="14" t="s">
        <v>243</v>
      </c>
      <c r="C57" s="13" t="s">
        <v>244</v>
      </c>
      <c r="D57" s="14" t="s">
        <v>322</v>
      </c>
      <c r="E57" s="14" t="s">
        <v>323</v>
      </c>
      <c r="F57" s="14" t="s">
        <v>324</v>
      </c>
      <c r="G57" s="13" t="s">
        <v>325</v>
      </c>
      <c r="H57" s="13" t="s">
        <v>53</v>
      </c>
      <c r="I57" s="15">
        <v>0.75</v>
      </c>
      <c r="J57" s="14"/>
      <c r="K57" s="13" t="s">
        <v>54</v>
      </c>
      <c r="L57" s="13">
        <f>IF(K57="Có","Chờ",ROUNDUP(SUMIFS($I$5:I57,$K$5:K57,"Không")/'Hướng dẫn'!$C$7,0))</f>
        <v>7</v>
      </c>
      <c r="M57" s="16">
        <f>IF(ISNUMBER(L57),WORKDAY('Hướng dẫn'!$C$6,L57-1),"")</f>
        <v>46330</v>
      </c>
      <c r="N57" s="17"/>
      <c r="O57" s="18"/>
      <c r="P57" s="17" t="s">
        <v>55</v>
      </c>
      <c r="Q57" s="17"/>
      <c r="R57" s="20" t="s">
        <v>326</v>
      </c>
      <c r="S57" s="20" t="str">
        <f>IF(K57="Có",COUNTIF($K$5:K57,"Có"),"")</f>
        <v/>
      </c>
    </row>
    <row r="58" spans="1:19" ht="26.4" x14ac:dyDescent="0.3">
      <c r="A58" s="13" t="s">
        <v>327</v>
      </c>
      <c r="B58" s="14" t="s">
        <v>243</v>
      </c>
      <c r="C58" s="13" t="s">
        <v>244</v>
      </c>
      <c r="D58" s="14" t="s">
        <v>328</v>
      </c>
      <c r="E58" s="14" t="s">
        <v>329</v>
      </c>
      <c r="F58" s="14" t="s">
        <v>330</v>
      </c>
      <c r="G58" s="13" t="s">
        <v>331</v>
      </c>
      <c r="H58" s="13" t="s">
        <v>53</v>
      </c>
      <c r="I58" s="15">
        <v>0.75</v>
      </c>
      <c r="J58" s="14"/>
      <c r="K58" s="13" t="s">
        <v>54</v>
      </c>
      <c r="L58" s="13">
        <f>IF(K58="Có","Chờ",ROUNDUP(SUMIFS($I$5:I58,$K$5:K58,"Không")/'Hướng dẫn'!$C$7,0))</f>
        <v>7</v>
      </c>
      <c r="M58" s="16">
        <f>IF(ISNUMBER(L58),WORKDAY('Hướng dẫn'!$C$6,L58-1),"")</f>
        <v>46330</v>
      </c>
      <c r="N58" s="17"/>
      <c r="O58" s="18"/>
      <c r="P58" s="17" t="s">
        <v>55</v>
      </c>
      <c r="Q58" s="17"/>
      <c r="R58" s="20" t="s">
        <v>332</v>
      </c>
      <c r="S58" s="20" t="str">
        <f>IF(K58="Có",COUNTIF($K$5:K58,"Có"),"")</f>
        <v/>
      </c>
    </row>
    <row r="59" spans="1:19" ht="26.4" x14ac:dyDescent="0.3">
      <c r="A59" s="13" t="s">
        <v>333</v>
      </c>
      <c r="B59" s="14" t="s">
        <v>243</v>
      </c>
      <c r="C59" s="13" t="s">
        <v>244</v>
      </c>
      <c r="D59" s="14" t="s">
        <v>334</v>
      </c>
      <c r="E59" s="14" t="s">
        <v>335</v>
      </c>
      <c r="F59" s="14" t="s">
        <v>336</v>
      </c>
      <c r="G59" s="13" t="s">
        <v>248</v>
      </c>
      <c r="H59" s="13" t="s">
        <v>53</v>
      </c>
      <c r="I59" s="15">
        <v>0.75</v>
      </c>
      <c r="J59" s="14"/>
      <c r="K59" s="13" t="s">
        <v>54</v>
      </c>
      <c r="L59" s="13">
        <f>IF(K59="Có","Chờ",ROUNDUP(SUMIFS($I$5:I59,$K$5:K59,"Không")/'Hướng dẫn'!$C$7,0))</f>
        <v>7</v>
      </c>
      <c r="M59" s="16">
        <f>IF(ISNUMBER(L59),WORKDAY('Hướng dẫn'!$C$6,L59-1),"")</f>
        <v>46330</v>
      </c>
      <c r="N59" s="17"/>
      <c r="O59" s="18"/>
      <c r="P59" s="17" t="s">
        <v>55</v>
      </c>
      <c r="Q59" s="17"/>
      <c r="R59" s="20" t="s">
        <v>249</v>
      </c>
      <c r="S59" s="20" t="str">
        <f>IF(K59="Có",COUNTIF($K$5:K59,"Có"),"")</f>
        <v/>
      </c>
    </row>
    <row r="60" spans="1:19" ht="26.4" x14ac:dyDescent="0.3">
      <c r="A60" s="13" t="s">
        <v>337</v>
      </c>
      <c r="B60" s="14" t="s">
        <v>243</v>
      </c>
      <c r="C60" s="13" t="s">
        <v>244</v>
      </c>
      <c r="D60" s="14" t="s">
        <v>338</v>
      </c>
      <c r="E60" s="14" t="s">
        <v>339</v>
      </c>
      <c r="F60" s="14" t="s">
        <v>340</v>
      </c>
      <c r="G60" s="13" t="s">
        <v>341</v>
      </c>
      <c r="H60" s="13" t="s">
        <v>53</v>
      </c>
      <c r="I60" s="15">
        <v>0.75</v>
      </c>
      <c r="J60" s="14"/>
      <c r="K60" s="13" t="s">
        <v>54</v>
      </c>
      <c r="L60" s="13">
        <f>IF(K60="Có","Chờ",ROUNDUP(SUMIFS($I$5:I60,$K$5:K60,"Không")/'Hướng dẫn'!$C$7,0))</f>
        <v>7</v>
      </c>
      <c r="M60" s="16">
        <f>IF(ISNUMBER(L60),WORKDAY('Hướng dẫn'!$C$6,L60-1),"")</f>
        <v>46330</v>
      </c>
      <c r="N60" s="17"/>
      <c r="O60" s="18"/>
      <c r="P60" s="17" t="s">
        <v>55</v>
      </c>
      <c r="Q60" s="17"/>
      <c r="R60" s="20" t="s">
        <v>342</v>
      </c>
      <c r="S60" s="20" t="str">
        <f>IF(K60="Có",COUNTIF($K$5:K60,"Có"),"")</f>
        <v/>
      </c>
    </row>
    <row r="61" spans="1:19" ht="26.4" x14ac:dyDescent="0.3">
      <c r="A61" s="13" t="s">
        <v>343</v>
      </c>
      <c r="B61" s="14" t="s">
        <v>243</v>
      </c>
      <c r="C61" s="13" t="s">
        <v>244</v>
      </c>
      <c r="D61" s="14" t="s">
        <v>344</v>
      </c>
      <c r="E61" s="14" t="s">
        <v>345</v>
      </c>
      <c r="F61" s="14" t="s">
        <v>346</v>
      </c>
      <c r="G61" s="13" t="s">
        <v>347</v>
      </c>
      <c r="H61" s="13" t="s">
        <v>53</v>
      </c>
      <c r="I61" s="15">
        <v>0.75</v>
      </c>
      <c r="J61" s="14"/>
      <c r="K61" s="13" t="s">
        <v>54</v>
      </c>
      <c r="L61" s="13">
        <f>IF(K61="Có","Chờ",ROUNDUP(SUMIFS($I$5:I61,$K$5:K61,"Không")/'Hướng dẫn'!$C$7,0))</f>
        <v>7</v>
      </c>
      <c r="M61" s="16">
        <f>IF(ISNUMBER(L61),WORKDAY('Hướng dẫn'!$C$6,L61-1),"")</f>
        <v>46330</v>
      </c>
      <c r="N61" s="17"/>
      <c r="O61" s="18"/>
      <c r="P61" s="17" t="s">
        <v>55</v>
      </c>
      <c r="Q61" s="17"/>
      <c r="R61" s="20" t="s">
        <v>348</v>
      </c>
      <c r="S61" s="20" t="str">
        <f>IF(K61="Có",COUNTIF($K$5:K61,"Có"),"")</f>
        <v/>
      </c>
    </row>
    <row r="62" spans="1:19" ht="26.4" x14ac:dyDescent="0.3">
      <c r="A62" s="13" t="s">
        <v>349</v>
      </c>
      <c r="B62" s="14" t="s">
        <v>243</v>
      </c>
      <c r="C62" s="13" t="s">
        <v>244</v>
      </c>
      <c r="D62" s="14" t="s">
        <v>350</v>
      </c>
      <c r="E62" s="14" t="s">
        <v>351</v>
      </c>
      <c r="F62" s="14" t="s">
        <v>352</v>
      </c>
      <c r="G62" s="13" t="s">
        <v>353</v>
      </c>
      <c r="H62" s="13" t="s">
        <v>53</v>
      </c>
      <c r="I62" s="15">
        <v>0.5</v>
      </c>
      <c r="J62" s="14"/>
      <c r="K62" s="13" t="s">
        <v>54</v>
      </c>
      <c r="L62" s="13">
        <f>IF(K62="Có","Chờ",ROUNDUP(SUMIFS($I$5:I62,$K$5:K62,"Không")/'Hướng dẫn'!$C$7,0))</f>
        <v>7</v>
      </c>
      <c r="M62" s="16">
        <f>IF(ISNUMBER(L62),WORKDAY('Hướng dẫn'!$C$6,L62-1),"")</f>
        <v>46330</v>
      </c>
      <c r="N62" s="17"/>
      <c r="O62" s="18"/>
      <c r="P62" s="17" t="s">
        <v>55</v>
      </c>
      <c r="Q62" s="17"/>
      <c r="R62" s="20" t="s">
        <v>354</v>
      </c>
      <c r="S62" s="20" t="str">
        <f>IF(K62="Có",COUNTIF($K$5:K62,"Có"),"")</f>
        <v/>
      </c>
    </row>
    <row r="63" spans="1:19" ht="26.4" x14ac:dyDescent="0.3">
      <c r="A63" s="13" t="s">
        <v>355</v>
      </c>
      <c r="B63" s="14" t="s">
        <v>243</v>
      </c>
      <c r="C63" s="13" t="s">
        <v>244</v>
      </c>
      <c r="D63" s="14" t="s">
        <v>356</v>
      </c>
      <c r="E63" s="14" t="s">
        <v>357</v>
      </c>
      <c r="F63" s="14" t="s">
        <v>358</v>
      </c>
      <c r="G63" s="13" t="s">
        <v>359</v>
      </c>
      <c r="H63" s="13" t="s">
        <v>53</v>
      </c>
      <c r="I63" s="15">
        <v>1</v>
      </c>
      <c r="J63" s="14" t="s">
        <v>360</v>
      </c>
      <c r="K63" s="13" t="s">
        <v>361</v>
      </c>
      <c r="L63" s="13" t="str">
        <f>IF(K63="Có","Chờ",ROUNDUP(SUMIFS($I$5:I63,$K$5:K63,"Không")/'Hướng dẫn'!$C$7,0))</f>
        <v>Chờ</v>
      </c>
      <c r="M63" s="16" t="str">
        <f>IF(ISNUMBER(L63),WORKDAY('Hướng dẫn'!$C$6,L63-1),"")</f>
        <v/>
      </c>
      <c r="N63" s="17"/>
      <c r="O63" s="18"/>
      <c r="P63" s="17" t="s">
        <v>362</v>
      </c>
      <c r="Q63" s="17"/>
      <c r="R63" s="20" t="s">
        <v>363</v>
      </c>
      <c r="S63" s="20">
        <f>IF(K63="Có",COUNTIF($K$5:K63,"Có"),"")</f>
        <v>1</v>
      </c>
    </row>
    <row r="64" spans="1:19" ht="26.4" x14ac:dyDescent="0.3">
      <c r="A64" s="13" t="s">
        <v>364</v>
      </c>
      <c r="B64" s="14" t="s">
        <v>243</v>
      </c>
      <c r="C64" s="13" t="s">
        <v>244</v>
      </c>
      <c r="D64" s="14" t="s">
        <v>365</v>
      </c>
      <c r="E64" s="14" t="s">
        <v>366</v>
      </c>
      <c r="F64" s="14" t="s">
        <v>367</v>
      </c>
      <c r="G64" s="13"/>
      <c r="H64" s="13" t="s">
        <v>70</v>
      </c>
      <c r="I64" s="15">
        <v>0.5</v>
      </c>
      <c r="J64" s="14"/>
      <c r="K64" s="13" t="s">
        <v>54</v>
      </c>
      <c r="L64" s="13">
        <f>IF(K64="Có","Chờ",ROUNDUP(SUMIFS($I$5:I64,$K$5:K64,"Không")/'Hướng dẫn'!$C$7,0))</f>
        <v>7</v>
      </c>
      <c r="M64" s="16">
        <f>IF(ISNUMBER(L64),WORKDAY('Hướng dẫn'!$C$6,L64-1),"")</f>
        <v>46330</v>
      </c>
      <c r="N64" s="17"/>
      <c r="O64" s="18"/>
      <c r="P64" s="17" t="s">
        <v>55</v>
      </c>
      <c r="Q64" s="17"/>
      <c r="R64" s="20"/>
      <c r="S64" s="20" t="str">
        <f>IF(K64="Có",COUNTIF($K$5:K64,"Có"),"")</f>
        <v/>
      </c>
    </row>
    <row r="65" spans="1:19" ht="26.4" x14ac:dyDescent="0.3">
      <c r="A65" s="13" t="s">
        <v>368</v>
      </c>
      <c r="B65" s="14" t="s">
        <v>243</v>
      </c>
      <c r="C65" s="13" t="s">
        <v>244</v>
      </c>
      <c r="D65" s="14" t="s">
        <v>369</v>
      </c>
      <c r="E65" s="14" t="s">
        <v>370</v>
      </c>
      <c r="F65" s="14" t="s">
        <v>371</v>
      </c>
      <c r="G65" s="13"/>
      <c r="H65" s="13" t="s">
        <v>70</v>
      </c>
      <c r="I65" s="15">
        <v>0.25</v>
      </c>
      <c r="J65" s="14"/>
      <c r="K65" s="13" t="s">
        <v>54</v>
      </c>
      <c r="L65" s="13">
        <f>IF(K65="Có","Chờ",ROUNDUP(SUMIFS($I$5:I65,$K$5:K65,"Không")/'Hướng dẫn'!$C$7,0))</f>
        <v>7</v>
      </c>
      <c r="M65" s="16">
        <f>IF(ISNUMBER(L65),WORKDAY('Hướng dẫn'!$C$6,L65-1),"")</f>
        <v>46330</v>
      </c>
      <c r="N65" s="17"/>
      <c r="O65" s="18"/>
      <c r="P65" s="17" t="s">
        <v>55</v>
      </c>
      <c r="Q65" s="17"/>
      <c r="R65" s="20"/>
      <c r="S65" s="20" t="str">
        <f>IF(K65="Có",COUNTIF($K$5:K65,"Có"),"")</f>
        <v/>
      </c>
    </row>
    <row r="66" spans="1:19" ht="26.4" x14ac:dyDescent="0.3">
      <c r="A66" s="13" t="s">
        <v>372</v>
      </c>
      <c r="B66" s="14" t="s">
        <v>373</v>
      </c>
      <c r="C66" s="13" t="s">
        <v>374</v>
      </c>
      <c r="D66" s="14" t="s">
        <v>375</v>
      </c>
      <c r="E66" s="14" t="s">
        <v>376</v>
      </c>
      <c r="F66" s="14" t="s">
        <v>377</v>
      </c>
      <c r="G66" s="13"/>
      <c r="H66" s="13" t="s">
        <v>70</v>
      </c>
      <c r="I66" s="15">
        <v>1</v>
      </c>
      <c r="J66" s="14"/>
      <c r="K66" s="13" t="s">
        <v>54</v>
      </c>
      <c r="L66" s="13">
        <f>IF(K66="Có","Chờ",ROUNDUP(SUMIFS($I$5:I66,$K$5:K66,"Không")/'Hướng dẫn'!$C$7,0))</f>
        <v>8</v>
      </c>
      <c r="M66" s="16">
        <f>IF(ISNUMBER(L66),WORKDAY('Hướng dẫn'!$C$6,L66-1),"")</f>
        <v>46331</v>
      </c>
      <c r="N66" s="17"/>
      <c r="O66" s="18"/>
      <c r="P66" s="17" t="s">
        <v>55</v>
      </c>
      <c r="Q66" s="17"/>
      <c r="R66" s="20"/>
      <c r="S66" s="20" t="str">
        <f>IF(K66="Có",COUNTIF($K$5:K66,"Có"),"")</f>
        <v/>
      </c>
    </row>
    <row r="67" spans="1:19" ht="26.4" x14ac:dyDescent="0.3">
      <c r="A67" s="13" t="s">
        <v>378</v>
      </c>
      <c r="B67" s="14" t="s">
        <v>373</v>
      </c>
      <c r="C67" s="13" t="s">
        <v>374</v>
      </c>
      <c r="D67" s="14" t="s">
        <v>379</v>
      </c>
      <c r="E67" s="14" t="s">
        <v>380</v>
      </c>
      <c r="F67" s="14" t="s">
        <v>381</v>
      </c>
      <c r="G67" s="13"/>
      <c r="H67" s="13" t="s">
        <v>70</v>
      </c>
      <c r="I67" s="15">
        <v>0.5</v>
      </c>
      <c r="J67" s="14"/>
      <c r="K67" s="13" t="s">
        <v>54</v>
      </c>
      <c r="L67" s="13">
        <f>IF(K67="Có","Chờ",ROUNDUP(SUMIFS($I$5:I67,$K$5:K67,"Không")/'Hướng dẫn'!$C$7,0))</f>
        <v>8</v>
      </c>
      <c r="M67" s="16">
        <f>IF(ISNUMBER(L67),WORKDAY('Hướng dẫn'!$C$6,L67-1),"")</f>
        <v>46331</v>
      </c>
      <c r="N67" s="17"/>
      <c r="O67" s="18"/>
      <c r="P67" s="17" t="s">
        <v>55</v>
      </c>
      <c r="Q67" s="17"/>
      <c r="R67" s="20"/>
      <c r="S67" s="20" t="str">
        <f>IF(K67="Có",COUNTIF($K$5:K67,"Có"),"")</f>
        <v/>
      </c>
    </row>
    <row r="68" spans="1:19" ht="26.4" x14ac:dyDescent="0.3">
      <c r="A68" s="13" t="s">
        <v>382</v>
      </c>
      <c r="B68" s="14" t="s">
        <v>373</v>
      </c>
      <c r="C68" s="13" t="s">
        <v>383</v>
      </c>
      <c r="D68" s="14" t="s">
        <v>384</v>
      </c>
      <c r="E68" s="14" t="s">
        <v>385</v>
      </c>
      <c r="F68" s="14" t="s">
        <v>386</v>
      </c>
      <c r="G68" s="13" t="s">
        <v>387</v>
      </c>
      <c r="H68" s="13" t="s">
        <v>53</v>
      </c>
      <c r="I68" s="15">
        <v>0.75</v>
      </c>
      <c r="J68" s="14"/>
      <c r="K68" s="13" t="s">
        <v>54</v>
      </c>
      <c r="L68" s="13">
        <f>IF(K68="Có","Chờ",ROUNDUP(SUMIFS($I$5:I68,$K$5:K68,"Không")/'Hướng dẫn'!$C$7,0))</f>
        <v>8</v>
      </c>
      <c r="M68" s="16">
        <f>IF(ISNUMBER(L68),WORKDAY('Hướng dẫn'!$C$6,L68-1),"")</f>
        <v>46331</v>
      </c>
      <c r="N68" s="17"/>
      <c r="O68" s="18"/>
      <c r="P68" s="17" t="s">
        <v>55</v>
      </c>
      <c r="Q68" s="17"/>
      <c r="R68" s="20" t="s">
        <v>388</v>
      </c>
      <c r="S68" s="20" t="str">
        <f>IF(K68="Có",COUNTIF($K$5:K68,"Có"),"")</f>
        <v/>
      </c>
    </row>
    <row r="69" spans="1:19" ht="26.4" x14ac:dyDescent="0.3">
      <c r="A69" s="13" t="s">
        <v>389</v>
      </c>
      <c r="B69" s="14" t="s">
        <v>373</v>
      </c>
      <c r="C69" s="13" t="s">
        <v>383</v>
      </c>
      <c r="D69" s="14" t="s">
        <v>390</v>
      </c>
      <c r="E69" s="14" t="s">
        <v>391</v>
      </c>
      <c r="F69" s="14" t="s">
        <v>392</v>
      </c>
      <c r="G69" s="13" t="s">
        <v>225</v>
      </c>
      <c r="H69" s="13" t="s">
        <v>53</v>
      </c>
      <c r="I69" s="15">
        <v>0.75</v>
      </c>
      <c r="J69" s="14"/>
      <c r="K69" s="13" t="s">
        <v>54</v>
      </c>
      <c r="L69" s="13">
        <f>IF(K69="Có","Chờ",ROUNDUP(SUMIFS($I$5:I69,$K$5:K69,"Không")/'Hướng dẫn'!$C$7,0))</f>
        <v>8</v>
      </c>
      <c r="M69" s="16">
        <f>IF(ISNUMBER(L69),WORKDAY('Hướng dẫn'!$C$6,L69-1),"")</f>
        <v>46331</v>
      </c>
      <c r="N69" s="17"/>
      <c r="O69" s="18"/>
      <c r="P69" s="17" t="s">
        <v>55</v>
      </c>
      <c r="Q69" s="17"/>
      <c r="R69" s="20" t="s">
        <v>226</v>
      </c>
      <c r="S69" s="20" t="str">
        <f>IF(K69="Có",COUNTIF($K$5:K69,"Có"),"")</f>
        <v/>
      </c>
    </row>
    <row r="70" spans="1:19" ht="26.4" x14ac:dyDescent="0.3">
      <c r="A70" s="13" t="s">
        <v>393</v>
      </c>
      <c r="B70" s="14" t="s">
        <v>373</v>
      </c>
      <c r="C70" s="13" t="s">
        <v>383</v>
      </c>
      <c r="D70" s="14" t="s">
        <v>394</v>
      </c>
      <c r="E70" s="14" t="s">
        <v>395</v>
      </c>
      <c r="F70" s="14" t="s">
        <v>396</v>
      </c>
      <c r="G70" s="13" t="s">
        <v>240</v>
      </c>
      <c r="H70" s="13" t="s">
        <v>53</v>
      </c>
      <c r="I70" s="15">
        <v>0.75</v>
      </c>
      <c r="J70" s="14"/>
      <c r="K70" s="13" t="s">
        <v>54</v>
      </c>
      <c r="L70" s="13">
        <f>IF(K70="Có","Chờ",ROUNDUP(SUMIFS($I$5:I70,$K$5:K70,"Không")/'Hướng dẫn'!$C$7,0))</f>
        <v>8</v>
      </c>
      <c r="M70" s="16">
        <f>IF(ISNUMBER(L70),WORKDAY('Hướng dẫn'!$C$6,L70-1),"")</f>
        <v>46331</v>
      </c>
      <c r="N70" s="17"/>
      <c r="O70" s="18"/>
      <c r="P70" s="17" t="s">
        <v>55</v>
      </c>
      <c r="Q70" s="17"/>
      <c r="R70" s="20" t="s">
        <v>241</v>
      </c>
      <c r="S70" s="20" t="str">
        <f>IF(K70="Có",COUNTIF($K$5:K70,"Có"),"")</f>
        <v/>
      </c>
    </row>
    <row r="71" spans="1:19" ht="26.4" x14ac:dyDescent="0.3">
      <c r="A71" s="13" t="s">
        <v>397</v>
      </c>
      <c r="B71" s="14" t="s">
        <v>373</v>
      </c>
      <c r="C71" s="13" t="s">
        <v>383</v>
      </c>
      <c r="D71" s="14" t="s">
        <v>398</v>
      </c>
      <c r="E71" s="14" t="s">
        <v>399</v>
      </c>
      <c r="F71" s="14" t="s">
        <v>400</v>
      </c>
      <c r="G71" s="13" t="s">
        <v>183</v>
      </c>
      <c r="H71" s="13" t="s">
        <v>53</v>
      </c>
      <c r="I71" s="15">
        <v>0.5</v>
      </c>
      <c r="J71" s="14"/>
      <c r="K71" s="13" t="s">
        <v>54</v>
      </c>
      <c r="L71" s="13">
        <f>IF(K71="Có","Chờ",ROUNDUP(SUMIFS($I$5:I71,$K$5:K71,"Không")/'Hướng dẫn'!$C$7,0))</f>
        <v>8</v>
      </c>
      <c r="M71" s="16">
        <f>IF(ISNUMBER(L71),WORKDAY('Hướng dẫn'!$C$6,L71-1),"")</f>
        <v>46331</v>
      </c>
      <c r="N71" s="17"/>
      <c r="O71" s="18"/>
      <c r="P71" s="17" t="s">
        <v>55</v>
      </c>
      <c r="Q71" s="17"/>
      <c r="R71" s="20" t="s">
        <v>184</v>
      </c>
      <c r="S71" s="20" t="str">
        <f>IF(K71="Có",COUNTIF($K$5:K71,"Có"),"")</f>
        <v/>
      </c>
    </row>
    <row r="72" spans="1:19" ht="26.4" x14ac:dyDescent="0.3">
      <c r="A72" s="13" t="s">
        <v>401</v>
      </c>
      <c r="B72" s="14" t="s">
        <v>373</v>
      </c>
      <c r="C72" s="13" t="s">
        <v>383</v>
      </c>
      <c r="D72" s="14" t="s">
        <v>402</v>
      </c>
      <c r="E72" s="14" t="s">
        <v>403</v>
      </c>
      <c r="F72" s="14" t="s">
        <v>404</v>
      </c>
      <c r="G72" s="13" t="s">
        <v>240</v>
      </c>
      <c r="H72" s="13" t="s">
        <v>70</v>
      </c>
      <c r="I72" s="15">
        <v>0.25</v>
      </c>
      <c r="J72" s="14"/>
      <c r="K72" s="13" t="s">
        <v>54</v>
      </c>
      <c r="L72" s="13">
        <f>IF(K72="Có","Chờ",ROUNDUP(SUMIFS($I$5:I72,$K$5:K72,"Không")/'Hướng dẫn'!$C$7,0))</f>
        <v>8</v>
      </c>
      <c r="M72" s="16">
        <f>IF(ISNUMBER(L72),WORKDAY('Hướng dẫn'!$C$6,L72-1),"")</f>
        <v>46331</v>
      </c>
      <c r="N72" s="17"/>
      <c r="O72" s="18"/>
      <c r="P72" s="17" t="s">
        <v>55</v>
      </c>
      <c r="Q72" s="17"/>
      <c r="R72" s="20" t="s">
        <v>241</v>
      </c>
      <c r="S72" s="20" t="str">
        <f>IF(K72="Có",COUNTIF($K$5:K72,"Có"),"")</f>
        <v/>
      </c>
    </row>
    <row r="73" spans="1:19" ht="26.4" x14ac:dyDescent="0.3">
      <c r="A73" s="13" t="s">
        <v>405</v>
      </c>
      <c r="B73" s="14" t="s">
        <v>406</v>
      </c>
      <c r="C73" s="13" t="s">
        <v>407</v>
      </c>
      <c r="D73" s="14" t="s">
        <v>408</v>
      </c>
      <c r="E73" s="14" t="s">
        <v>409</v>
      </c>
      <c r="F73" s="14" t="s">
        <v>410</v>
      </c>
      <c r="G73" s="13" t="s">
        <v>195</v>
      </c>
      <c r="H73" s="13" t="s">
        <v>53</v>
      </c>
      <c r="I73" s="15">
        <v>0.75</v>
      </c>
      <c r="J73" s="14"/>
      <c r="K73" s="13" t="s">
        <v>54</v>
      </c>
      <c r="L73" s="13">
        <f>IF(K73="Có","Chờ",ROUNDUP(SUMIFS($I$5:I73,$K$5:K73,"Không")/'Hướng dẫn'!$C$7,0))</f>
        <v>8</v>
      </c>
      <c r="M73" s="16">
        <f>IF(ISNUMBER(L73),WORKDAY('Hướng dẫn'!$C$6,L73-1),"")</f>
        <v>46331</v>
      </c>
      <c r="N73" s="17"/>
      <c r="O73" s="18"/>
      <c r="P73" s="17" t="s">
        <v>55</v>
      </c>
      <c r="Q73" s="17"/>
      <c r="R73" s="20" t="s">
        <v>196</v>
      </c>
      <c r="S73" s="20" t="str">
        <f>IF(K73="Có",COUNTIF($K$5:K73,"Có"),"")</f>
        <v/>
      </c>
    </row>
    <row r="74" spans="1:19" ht="26.4" x14ac:dyDescent="0.3">
      <c r="A74" s="13" t="s">
        <v>411</v>
      </c>
      <c r="B74" s="14" t="s">
        <v>406</v>
      </c>
      <c r="C74" s="13" t="s">
        <v>407</v>
      </c>
      <c r="D74" s="14" t="s">
        <v>412</v>
      </c>
      <c r="E74" s="14" t="s">
        <v>413</v>
      </c>
      <c r="F74" s="14" t="s">
        <v>414</v>
      </c>
      <c r="G74" s="13" t="s">
        <v>201</v>
      </c>
      <c r="H74" s="13" t="s">
        <v>53</v>
      </c>
      <c r="I74" s="15">
        <v>0.5</v>
      </c>
      <c r="J74" s="14"/>
      <c r="K74" s="13" t="s">
        <v>54</v>
      </c>
      <c r="L74" s="13">
        <f>IF(K74="Có","Chờ",ROUNDUP(SUMIFS($I$5:I74,$K$5:K74,"Không")/'Hướng dẫn'!$C$7,0))</f>
        <v>8</v>
      </c>
      <c r="M74" s="16">
        <f>IF(ISNUMBER(L74),WORKDAY('Hướng dẫn'!$C$6,L74-1),"")</f>
        <v>46331</v>
      </c>
      <c r="N74" s="17"/>
      <c r="O74" s="18"/>
      <c r="P74" s="17" t="s">
        <v>55</v>
      </c>
      <c r="Q74" s="17"/>
      <c r="R74" s="20" t="s">
        <v>202</v>
      </c>
      <c r="S74" s="20" t="str">
        <f>IF(K74="Có",COUNTIF($K$5:K74,"Có"),"")</f>
        <v/>
      </c>
    </row>
    <row r="75" spans="1:19" ht="26.4" x14ac:dyDescent="0.3">
      <c r="A75" s="13" t="s">
        <v>415</v>
      </c>
      <c r="B75" s="14" t="s">
        <v>406</v>
      </c>
      <c r="C75" s="13" t="s">
        <v>407</v>
      </c>
      <c r="D75" s="14" t="s">
        <v>416</v>
      </c>
      <c r="E75" s="14" t="s">
        <v>417</v>
      </c>
      <c r="F75" s="14" t="s">
        <v>418</v>
      </c>
      <c r="G75" s="13" t="s">
        <v>207</v>
      </c>
      <c r="H75" s="13" t="s">
        <v>53</v>
      </c>
      <c r="I75" s="15">
        <v>0.5</v>
      </c>
      <c r="J75" s="14"/>
      <c r="K75" s="13" t="s">
        <v>54</v>
      </c>
      <c r="L75" s="13">
        <f>IF(K75="Có","Chờ",ROUNDUP(SUMIFS($I$5:I75,$K$5:K75,"Không")/'Hướng dẫn'!$C$7,0))</f>
        <v>8</v>
      </c>
      <c r="M75" s="16">
        <f>IF(ISNUMBER(L75),WORKDAY('Hướng dẫn'!$C$6,L75-1),"")</f>
        <v>46331</v>
      </c>
      <c r="N75" s="17"/>
      <c r="O75" s="18"/>
      <c r="P75" s="17" t="s">
        <v>55</v>
      </c>
      <c r="Q75" s="17"/>
      <c r="R75" s="20" t="s">
        <v>208</v>
      </c>
      <c r="S75" s="20" t="str">
        <f>IF(K75="Có",COUNTIF($K$5:K75,"Có"),"")</f>
        <v/>
      </c>
    </row>
    <row r="76" spans="1:19" ht="26.4" x14ac:dyDescent="0.3">
      <c r="A76" s="13" t="s">
        <v>419</v>
      </c>
      <c r="B76" s="14" t="s">
        <v>406</v>
      </c>
      <c r="C76" s="13" t="s">
        <v>407</v>
      </c>
      <c r="D76" s="14" t="s">
        <v>420</v>
      </c>
      <c r="E76" s="14" t="s">
        <v>421</v>
      </c>
      <c r="F76" s="14" t="s">
        <v>422</v>
      </c>
      <c r="G76" s="13" t="s">
        <v>423</v>
      </c>
      <c r="H76" s="13" t="s">
        <v>53</v>
      </c>
      <c r="I76" s="15">
        <v>0.5</v>
      </c>
      <c r="J76" s="14"/>
      <c r="K76" s="13" t="s">
        <v>54</v>
      </c>
      <c r="L76" s="13">
        <f>IF(K76="Có","Chờ",ROUNDUP(SUMIFS($I$5:I76,$K$5:K76,"Không")/'Hướng dẫn'!$C$7,0))</f>
        <v>9</v>
      </c>
      <c r="M76" s="16">
        <f>IF(ISNUMBER(L76),WORKDAY('Hướng dẫn'!$C$6,L76-1),"")</f>
        <v>46332</v>
      </c>
      <c r="N76" s="17"/>
      <c r="O76" s="18"/>
      <c r="P76" s="17" t="s">
        <v>55</v>
      </c>
      <c r="Q76" s="17"/>
      <c r="R76" s="20" t="s">
        <v>424</v>
      </c>
      <c r="S76" s="20" t="str">
        <f>IF(K76="Có",COUNTIF($K$5:K76,"Có"),"")</f>
        <v/>
      </c>
    </row>
    <row r="77" spans="1:19" ht="26.4" x14ac:dyDescent="0.3">
      <c r="A77" s="13" t="s">
        <v>425</v>
      </c>
      <c r="B77" s="14" t="s">
        <v>406</v>
      </c>
      <c r="C77" s="13" t="s">
        <v>426</v>
      </c>
      <c r="D77" s="14" t="s">
        <v>427</v>
      </c>
      <c r="E77" s="14" t="s">
        <v>428</v>
      </c>
      <c r="F77" s="14" t="s">
        <v>429</v>
      </c>
      <c r="G77" s="13" t="s">
        <v>430</v>
      </c>
      <c r="H77" s="13" t="s">
        <v>53</v>
      </c>
      <c r="I77" s="15">
        <v>0.75</v>
      </c>
      <c r="J77" s="14"/>
      <c r="K77" s="13" t="s">
        <v>54</v>
      </c>
      <c r="L77" s="13">
        <f>IF(K77="Có","Chờ",ROUNDUP(SUMIFS($I$5:I77,$K$5:K77,"Không")/'Hướng dẫn'!$C$7,0))</f>
        <v>9</v>
      </c>
      <c r="M77" s="16">
        <f>IF(ISNUMBER(L77),WORKDAY('Hướng dẫn'!$C$6,L77-1),"")</f>
        <v>46332</v>
      </c>
      <c r="N77" s="17"/>
      <c r="O77" s="18"/>
      <c r="P77" s="17" t="s">
        <v>55</v>
      </c>
      <c r="Q77" s="17"/>
      <c r="R77" s="20" t="s">
        <v>431</v>
      </c>
      <c r="S77" s="20" t="str">
        <f>IF(K77="Có",COUNTIF($K$5:K77,"Có"),"")</f>
        <v/>
      </c>
    </row>
    <row r="78" spans="1:19" ht="26.4" x14ac:dyDescent="0.3">
      <c r="A78" s="13" t="s">
        <v>432</v>
      </c>
      <c r="B78" s="14" t="s">
        <v>406</v>
      </c>
      <c r="C78" s="13" t="s">
        <v>426</v>
      </c>
      <c r="D78" s="14" t="s">
        <v>433</v>
      </c>
      <c r="E78" s="14" t="s">
        <v>434</v>
      </c>
      <c r="F78" s="14" t="s">
        <v>435</v>
      </c>
      <c r="G78" s="13" t="s">
        <v>436</v>
      </c>
      <c r="H78" s="13" t="s">
        <v>53</v>
      </c>
      <c r="I78" s="15">
        <v>0.75</v>
      </c>
      <c r="J78" s="14"/>
      <c r="K78" s="13" t="s">
        <v>54</v>
      </c>
      <c r="L78" s="13">
        <f>IF(K78="Có","Chờ",ROUNDUP(SUMIFS($I$5:I78,$K$5:K78,"Không")/'Hướng dẫn'!$C$7,0))</f>
        <v>9</v>
      </c>
      <c r="M78" s="16">
        <f>IF(ISNUMBER(L78),WORKDAY('Hướng dẫn'!$C$6,L78-1),"")</f>
        <v>46332</v>
      </c>
      <c r="N78" s="17"/>
      <c r="O78" s="18"/>
      <c r="P78" s="17" t="s">
        <v>55</v>
      </c>
      <c r="Q78" s="17"/>
      <c r="R78" s="20" t="s">
        <v>437</v>
      </c>
      <c r="S78" s="20" t="str">
        <f>IF(K78="Có",COUNTIF($K$5:K78,"Có"),"")</f>
        <v/>
      </c>
    </row>
    <row r="79" spans="1:19" ht="26.4" x14ac:dyDescent="0.3">
      <c r="A79" s="13" t="s">
        <v>438</v>
      </c>
      <c r="B79" s="14" t="s">
        <v>406</v>
      </c>
      <c r="C79" s="13" t="s">
        <v>439</v>
      </c>
      <c r="D79" s="14" t="s">
        <v>440</v>
      </c>
      <c r="E79" s="14" t="s">
        <v>441</v>
      </c>
      <c r="F79" s="14" t="s">
        <v>442</v>
      </c>
      <c r="G79" s="13" t="s">
        <v>443</v>
      </c>
      <c r="H79" s="13" t="s">
        <v>53</v>
      </c>
      <c r="I79" s="15">
        <v>0.5</v>
      </c>
      <c r="J79" s="14"/>
      <c r="K79" s="13" t="s">
        <v>54</v>
      </c>
      <c r="L79" s="13">
        <f>IF(K79="Có","Chờ",ROUNDUP(SUMIFS($I$5:I79,$K$5:K79,"Không")/'Hướng dẫn'!$C$7,0))</f>
        <v>9</v>
      </c>
      <c r="M79" s="16">
        <f>IF(ISNUMBER(L79),WORKDAY('Hướng dẫn'!$C$6,L79-1),"")</f>
        <v>46332</v>
      </c>
      <c r="N79" s="17"/>
      <c r="O79" s="18"/>
      <c r="P79" s="17" t="s">
        <v>55</v>
      </c>
      <c r="Q79" s="17"/>
      <c r="R79" s="20" t="s">
        <v>444</v>
      </c>
      <c r="S79" s="20" t="str">
        <f>IF(K79="Có",COUNTIF($K$5:K79,"Có"),"")</f>
        <v/>
      </c>
    </row>
    <row r="80" spans="1:19" ht="26.4" x14ac:dyDescent="0.3">
      <c r="A80" s="13" t="s">
        <v>445</v>
      </c>
      <c r="B80" s="14" t="s">
        <v>406</v>
      </c>
      <c r="C80" s="13" t="s">
        <v>446</v>
      </c>
      <c r="D80" s="14" t="s">
        <v>447</v>
      </c>
      <c r="E80" s="14" t="s">
        <v>448</v>
      </c>
      <c r="F80" s="14" t="s">
        <v>449</v>
      </c>
      <c r="G80" s="13" t="s">
        <v>450</v>
      </c>
      <c r="H80" s="13" t="s">
        <v>53</v>
      </c>
      <c r="I80" s="15">
        <v>0.75</v>
      </c>
      <c r="J80" s="14"/>
      <c r="K80" s="13" t="s">
        <v>54</v>
      </c>
      <c r="L80" s="13">
        <f>IF(K80="Có","Chờ",ROUNDUP(SUMIFS($I$5:I80,$K$5:K80,"Không")/'Hướng dẫn'!$C$7,0))</f>
        <v>9</v>
      </c>
      <c r="M80" s="16">
        <f>IF(ISNUMBER(L80),WORKDAY('Hướng dẫn'!$C$6,L80-1),"")</f>
        <v>46332</v>
      </c>
      <c r="N80" s="17"/>
      <c r="O80" s="18"/>
      <c r="P80" s="17" t="s">
        <v>55</v>
      </c>
      <c r="Q80" s="17"/>
      <c r="R80" s="20" t="s">
        <v>451</v>
      </c>
      <c r="S80" s="20" t="str">
        <f>IF(K80="Có",COUNTIF($K$5:K80,"Có"),"")</f>
        <v/>
      </c>
    </row>
    <row r="81" spans="1:19" ht="26.4" x14ac:dyDescent="0.3">
      <c r="A81" s="13" t="s">
        <v>452</v>
      </c>
      <c r="B81" s="14" t="s">
        <v>406</v>
      </c>
      <c r="C81" s="13" t="s">
        <v>453</v>
      </c>
      <c r="D81" s="14" t="s">
        <v>454</v>
      </c>
      <c r="E81" s="14" t="s">
        <v>455</v>
      </c>
      <c r="F81" s="14" t="s">
        <v>456</v>
      </c>
      <c r="G81" s="13"/>
      <c r="H81" s="13" t="s">
        <v>70</v>
      </c>
      <c r="I81" s="15">
        <v>0.5</v>
      </c>
      <c r="J81" s="14"/>
      <c r="K81" s="13" t="s">
        <v>54</v>
      </c>
      <c r="L81" s="13">
        <f>IF(K81="Có","Chờ",ROUNDUP(SUMIFS($I$5:I81,$K$5:K81,"Không")/'Hướng dẫn'!$C$7,0))</f>
        <v>9</v>
      </c>
      <c r="M81" s="16">
        <f>IF(ISNUMBER(L81),WORKDAY('Hướng dẫn'!$C$6,L81-1),"")</f>
        <v>46332</v>
      </c>
      <c r="N81" s="17"/>
      <c r="O81" s="18"/>
      <c r="P81" s="17" t="s">
        <v>55</v>
      </c>
      <c r="Q81" s="17"/>
      <c r="R81" s="20"/>
      <c r="S81" s="20" t="str">
        <f>IF(K81="Có",COUNTIF($K$5:K81,"Có"),"")</f>
        <v/>
      </c>
    </row>
    <row r="82" spans="1:19" ht="26.4" x14ac:dyDescent="0.3">
      <c r="A82" s="13" t="s">
        <v>457</v>
      </c>
      <c r="B82" s="14" t="s">
        <v>458</v>
      </c>
      <c r="C82" s="13" t="s">
        <v>459</v>
      </c>
      <c r="D82" s="14" t="s">
        <v>460</v>
      </c>
      <c r="E82" s="14" t="s">
        <v>461</v>
      </c>
      <c r="F82" s="14" t="s">
        <v>462</v>
      </c>
      <c r="G82" s="13" t="s">
        <v>463</v>
      </c>
      <c r="H82" s="13" t="s">
        <v>53</v>
      </c>
      <c r="I82" s="15">
        <v>1</v>
      </c>
      <c r="J82" s="14"/>
      <c r="K82" s="13" t="s">
        <v>54</v>
      </c>
      <c r="L82" s="13">
        <f>IF(K82="Có","Chờ",ROUNDUP(SUMIFS($I$5:I82,$K$5:K82,"Không")/'Hướng dẫn'!$C$7,0))</f>
        <v>9</v>
      </c>
      <c r="M82" s="16">
        <f>IF(ISNUMBER(L82),WORKDAY('Hướng dẫn'!$C$6,L82-1),"")</f>
        <v>46332</v>
      </c>
      <c r="N82" s="17"/>
      <c r="O82" s="18"/>
      <c r="P82" s="17" t="s">
        <v>55</v>
      </c>
      <c r="Q82" s="17"/>
      <c r="R82" s="20" t="s">
        <v>464</v>
      </c>
      <c r="S82" s="20" t="str">
        <f>IF(K82="Có",COUNTIF($K$5:K82,"Có"),"")</f>
        <v/>
      </c>
    </row>
    <row r="83" spans="1:19" ht="26.4" x14ac:dyDescent="0.3">
      <c r="A83" s="13" t="s">
        <v>465</v>
      </c>
      <c r="B83" s="14" t="s">
        <v>458</v>
      </c>
      <c r="C83" s="13" t="s">
        <v>466</v>
      </c>
      <c r="D83" s="14" t="s">
        <v>467</v>
      </c>
      <c r="E83" s="14" t="s">
        <v>468</v>
      </c>
      <c r="F83" s="14" t="s">
        <v>469</v>
      </c>
      <c r="G83" s="13"/>
      <c r="H83" s="13" t="s">
        <v>70</v>
      </c>
      <c r="I83" s="15">
        <v>0.5</v>
      </c>
      <c r="J83" s="14"/>
      <c r="K83" s="13" t="s">
        <v>54</v>
      </c>
      <c r="L83" s="13">
        <f>IF(K83="Có","Chờ",ROUNDUP(SUMIFS($I$5:I83,$K$5:K83,"Không")/'Hướng dẫn'!$C$7,0))</f>
        <v>9</v>
      </c>
      <c r="M83" s="16">
        <f>IF(ISNUMBER(L83),WORKDAY('Hướng dẫn'!$C$6,L83-1),"")</f>
        <v>46332</v>
      </c>
      <c r="N83" s="17"/>
      <c r="O83" s="18"/>
      <c r="P83" s="17" t="s">
        <v>55</v>
      </c>
      <c r="Q83" s="17"/>
      <c r="R83" s="20"/>
      <c r="S83" s="20" t="str">
        <f>IF(K83="Có",COUNTIF($K$5:K83,"Có"),"")</f>
        <v/>
      </c>
    </row>
    <row r="84" spans="1:19" ht="26.4" x14ac:dyDescent="0.3">
      <c r="A84" s="13" t="s">
        <v>470</v>
      </c>
      <c r="B84" s="14" t="s">
        <v>458</v>
      </c>
      <c r="C84" s="13" t="s">
        <v>471</v>
      </c>
      <c r="D84" s="14" t="s">
        <v>472</v>
      </c>
      <c r="E84" s="14" t="s">
        <v>473</v>
      </c>
      <c r="F84" s="14" t="s">
        <v>474</v>
      </c>
      <c r="G84" s="13"/>
      <c r="H84" s="13" t="s">
        <v>53</v>
      </c>
      <c r="I84" s="15">
        <v>0.5</v>
      </c>
      <c r="J84" s="14" t="s">
        <v>475</v>
      </c>
      <c r="K84" s="13" t="s">
        <v>54</v>
      </c>
      <c r="L84" s="13">
        <f>IF(K84="Có","Chờ",ROUNDUP(SUMIFS($I$5:I84,$K$5:K84,"Không")/'Hướng dẫn'!$C$7,0))</f>
        <v>9</v>
      </c>
      <c r="M84" s="16">
        <f>IF(ISNUMBER(L84),WORKDAY('Hướng dẫn'!$C$6,L84-1),"")</f>
        <v>46332</v>
      </c>
      <c r="N84" s="17"/>
      <c r="O84" s="18"/>
      <c r="P84" s="17" t="s">
        <v>55</v>
      </c>
      <c r="Q84" s="17"/>
      <c r="R84" s="20"/>
      <c r="S84" s="20" t="str">
        <f>IF(K84="Có",COUNTIF($K$5:K84,"Có"),"")</f>
        <v/>
      </c>
    </row>
    <row r="85" spans="1:19" ht="26.4" x14ac:dyDescent="0.3">
      <c r="A85" s="13" t="s">
        <v>476</v>
      </c>
      <c r="B85" s="14" t="s">
        <v>458</v>
      </c>
      <c r="C85" s="13" t="s">
        <v>477</v>
      </c>
      <c r="D85" s="14" t="s">
        <v>478</v>
      </c>
      <c r="E85" s="14" t="s">
        <v>479</v>
      </c>
      <c r="F85" s="14" t="s">
        <v>480</v>
      </c>
      <c r="G85" s="13"/>
      <c r="H85" s="13" t="s">
        <v>53</v>
      </c>
      <c r="I85" s="15">
        <v>0.5</v>
      </c>
      <c r="J85" s="14" t="s">
        <v>481</v>
      </c>
      <c r="K85" s="13" t="s">
        <v>54</v>
      </c>
      <c r="L85" s="13">
        <f>IF(K85="Có","Chờ",ROUNDUP(SUMIFS($I$5:I85,$K$5:K85,"Không")/'Hướng dẫn'!$C$7,0))</f>
        <v>9</v>
      </c>
      <c r="M85" s="16">
        <f>IF(ISNUMBER(L85),WORKDAY('Hướng dẫn'!$C$6,L85-1),"")</f>
        <v>46332</v>
      </c>
      <c r="N85" s="17"/>
      <c r="O85" s="18"/>
      <c r="P85" s="17" t="s">
        <v>55</v>
      </c>
      <c r="Q85" s="17"/>
      <c r="R85" s="20"/>
      <c r="S85" s="20" t="str">
        <f>IF(K85="Có",COUNTIF($K$5:K85,"Có"),"")</f>
        <v/>
      </c>
    </row>
    <row r="86" spans="1:19" x14ac:dyDescent="0.3">
      <c r="A86" s="13" t="s">
        <v>482</v>
      </c>
      <c r="B86" s="14" t="s">
        <v>458</v>
      </c>
      <c r="C86" s="13" t="s">
        <v>483</v>
      </c>
      <c r="D86" s="14" t="s">
        <v>484</v>
      </c>
      <c r="E86" s="14" t="s">
        <v>485</v>
      </c>
      <c r="F86" s="14" t="s">
        <v>486</v>
      </c>
      <c r="G86" s="13"/>
      <c r="H86" s="13" t="s">
        <v>53</v>
      </c>
      <c r="I86" s="15">
        <v>0.5</v>
      </c>
      <c r="J86" s="14"/>
      <c r="K86" s="13" t="s">
        <v>54</v>
      </c>
      <c r="L86" s="13">
        <f>IF(K86="Có","Chờ",ROUNDUP(SUMIFS($I$5:I86,$K$5:K86,"Không")/'Hướng dẫn'!$C$7,0))</f>
        <v>10</v>
      </c>
      <c r="M86" s="16">
        <f>IF(ISNUMBER(L86),WORKDAY('Hướng dẫn'!$C$6,L86-1),"")</f>
        <v>46335</v>
      </c>
      <c r="N86" s="17"/>
      <c r="O86" s="18"/>
      <c r="P86" s="17" t="s">
        <v>55</v>
      </c>
      <c r="Q86" s="17"/>
      <c r="R86" s="20"/>
      <c r="S86" s="20" t="str">
        <f>IF(K86="Có",COUNTIF($K$5:K86,"Có"),"")</f>
        <v/>
      </c>
    </row>
    <row r="87" spans="1:19" x14ac:dyDescent="0.3">
      <c r="A87" s="13" t="s">
        <v>487</v>
      </c>
      <c r="B87" s="14" t="s">
        <v>458</v>
      </c>
      <c r="C87" s="13" t="s">
        <v>488</v>
      </c>
      <c r="D87" s="14" t="s">
        <v>489</v>
      </c>
      <c r="E87" s="14" t="s">
        <v>490</v>
      </c>
      <c r="F87" s="14" t="s">
        <v>491</v>
      </c>
      <c r="G87" s="13" t="s">
        <v>463</v>
      </c>
      <c r="H87" s="13" t="s">
        <v>53</v>
      </c>
      <c r="I87" s="15">
        <v>0.5</v>
      </c>
      <c r="J87" s="14"/>
      <c r="K87" s="13" t="s">
        <v>54</v>
      </c>
      <c r="L87" s="13">
        <f>IF(K87="Có","Chờ",ROUNDUP(SUMIFS($I$5:I87,$K$5:K87,"Không")/'Hướng dẫn'!$C$7,0))</f>
        <v>10</v>
      </c>
      <c r="M87" s="16">
        <f>IF(ISNUMBER(L87),WORKDAY('Hướng dẫn'!$C$6,L87-1),"")</f>
        <v>46335</v>
      </c>
      <c r="N87" s="17"/>
      <c r="O87" s="18"/>
      <c r="P87" s="17" t="s">
        <v>55</v>
      </c>
      <c r="Q87" s="17"/>
      <c r="R87" s="20" t="s">
        <v>464</v>
      </c>
      <c r="S87" s="20" t="str">
        <f>IF(K87="Có",COUNTIF($K$5:K87,"Có"),"")</f>
        <v/>
      </c>
    </row>
    <row r="88" spans="1:19" ht="26.4" x14ac:dyDescent="0.3">
      <c r="A88" s="13" t="s">
        <v>492</v>
      </c>
      <c r="B88" s="14" t="s">
        <v>458</v>
      </c>
      <c r="C88" s="13" t="s">
        <v>493</v>
      </c>
      <c r="D88" s="14" t="s">
        <v>494</v>
      </c>
      <c r="E88" s="14" t="s">
        <v>495</v>
      </c>
      <c r="F88" s="14" t="s">
        <v>496</v>
      </c>
      <c r="G88" s="13"/>
      <c r="H88" s="13" t="s">
        <v>70</v>
      </c>
      <c r="I88" s="15">
        <v>0.5</v>
      </c>
      <c r="J88" s="14"/>
      <c r="K88" s="13" t="s">
        <v>54</v>
      </c>
      <c r="L88" s="13">
        <f>IF(K88="Có","Chờ",ROUNDUP(SUMIFS($I$5:I88,$K$5:K88,"Không")/'Hướng dẫn'!$C$7,0))</f>
        <v>10</v>
      </c>
      <c r="M88" s="16">
        <f>IF(ISNUMBER(L88),WORKDAY('Hướng dẫn'!$C$6,L88-1),"")</f>
        <v>46335</v>
      </c>
      <c r="N88" s="17"/>
      <c r="O88" s="18"/>
      <c r="P88" s="17" t="s">
        <v>55</v>
      </c>
      <c r="Q88" s="17"/>
      <c r="R88" s="20"/>
      <c r="S88" s="20" t="str">
        <f>IF(K88="Có",COUNTIF($K$5:K88,"Có"),"")</f>
        <v/>
      </c>
    </row>
    <row r="89" spans="1:19" ht="39.6" x14ac:dyDescent="0.3">
      <c r="A89" s="13" t="s">
        <v>497</v>
      </c>
      <c r="B89" s="14" t="s">
        <v>498</v>
      </c>
      <c r="C89" s="13" t="s">
        <v>80</v>
      </c>
      <c r="D89" s="14" t="s">
        <v>499</v>
      </c>
      <c r="E89" s="14" t="s">
        <v>500</v>
      </c>
      <c r="F89" s="14" t="s">
        <v>501</v>
      </c>
      <c r="G89" s="13" t="s">
        <v>144</v>
      </c>
      <c r="H89" s="13" t="s">
        <v>53</v>
      </c>
      <c r="I89" s="15">
        <v>1</v>
      </c>
      <c r="J89" s="14"/>
      <c r="K89" s="13" t="s">
        <v>54</v>
      </c>
      <c r="L89" s="13">
        <f>IF(K89="Có","Chờ",ROUNDUP(SUMIFS($I$5:I89,$K$5:K89,"Không")/'Hướng dẫn'!$C$7,0))</f>
        <v>10</v>
      </c>
      <c r="M89" s="16">
        <f>IF(ISNUMBER(L89),WORKDAY('Hướng dẫn'!$C$6,L89-1),"")</f>
        <v>46335</v>
      </c>
      <c r="N89" s="17"/>
      <c r="O89" s="18"/>
      <c r="P89" s="17" t="s">
        <v>55</v>
      </c>
      <c r="Q89" s="17"/>
      <c r="R89" s="20" t="s">
        <v>145</v>
      </c>
      <c r="S89" s="20" t="str">
        <f>IF(K89="Có",COUNTIF($K$5:K89,"Có"),"")</f>
        <v/>
      </c>
    </row>
    <row r="90" spans="1:19" ht="39.6" x14ac:dyDescent="0.3">
      <c r="A90" s="13" t="s">
        <v>502</v>
      </c>
      <c r="B90" s="14" t="s">
        <v>498</v>
      </c>
      <c r="C90" s="13" t="s">
        <v>80</v>
      </c>
      <c r="D90" s="14" t="s">
        <v>503</v>
      </c>
      <c r="E90" s="14" t="s">
        <v>504</v>
      </c>
      <c r="F90" s="14" t="s">
        <v>505</v>
      </c>
      <c r="G90" s="13" t="s">
        <v>171</v>
      </c>
      <c r="H90" s="13" t="s">
        <v>53</v>
      </c>
      <c r="I90" s="15">
        <v>1</v>
      </c>
      <c r="J90" s="14"/>
      <c r="K90" s="13" t="s">
        <v>54</v>
      </c>
      <c r="L90" s="13">
        <f>IF(K90="Có","Chờ",ROUNDUP(SUMIFS($I$5:I90,$K$5:K90,"Không")/'Hướng dẫn'!$C$7,0))</f>
        <v>10</v>
      </c>
      <c r="M90" s="16">
        <f>IF(ISNUMBER(L90),WORKDAY('Hướng dẫn'!$C$6,L90-1),"")</f>
        <v>46335</v>
      </c>
      <c r="N90" s="17"/>
      <c r="O90" s="18"/>
      <c r="P90" s="17" t="s">
        <v>55</v>
      </c>
      <c r="Q90" s="17"/>
      <c r="R90" s="20" t="s">
        <v>172</v>
      </c>
      <c r="S90" s="20" t="str">
        <f>IF(K90="Có",COUNTIF($K$5:K90,"Có"),"")</f>
        <v/>
      </c>
    </row>
    <row r="91" spans="1:19" ht="39.6" x14ac:dyDescent="0.3">
      <c r="A91" s="13" t="s">
        <v>506</v>
      </c>
      <c r="B91" s="14" t="s">
        <v>498</v>
      </c>
      <c r="C91" s="13" t="s">
        <v>80</v>
      </c>
      <c r="D91" s="14" t="s">
        <v>507</v>
      </c>
      <c r="E91" s="14" t="s">
        <v>508</v>
      </c>
      <c r="F91" s="14" t="s">
        <v>509</v>
      </c>
      <c r="G91" s="13" t="s">
        <v>510</v>
      </c>
      <c r="H91" s="13" t="s">
        <v>53</v>
      </c>
      <c r="I91" s="15">
        <v>1</v>
      </c>
      <c r="J91" s="14"/>
      <c r="K91" s="13" t="s">
        <v>54</v>
      </c>
      <c r="L91" s="13">
        <f>IF(K91="Có","Chờ",ROUNDUP(SUMIFS($I$5:I91,$K$5:K91,"Không")/'Hướng dẫn'!$C$7,0))</f>
        <v>10</v>
      </c>
      <c r="M91" s="16">
        <f>IF(ISNUMBER(L91),WORKDAY('Hướng dẫn'!$C$6,L91-1),"")</f>
        <v>46335</v>
      </c>
      <c r="N91" s="17"/>
      <c r="O91" s="18"/>
      <c r="P91" s="17" t="s">
        <v>55</v>
      </c>
      <c r="Q91" s="17"/>
      <c r="R91" s="20" t="s">
        <v>511</v>
      </c>
      <c r="S91" s="20" t="str">
        <f>IF(K91="Có",COUNTIF($K$5:K91,"Có"),"")</f>
        <v/>
      </c>
    </row>
    <row r="92" spans="1:19" ht="39.6" x14ac:dyDescent="0.3">
      <c r="A92" s="13" t="s">
        <v>512</v>
      </c>
      <c r="B92" s="14" t="s">
        <v>498</v>
      </c>
      <c r="C92" s="13" t="s">
        <v>80</v>
      </c>
      <c r="D92" s="14" t="s">
        <v>513</v>
      </c>
      <c r="E92" s="14" t="s">
        <v>514</v>
      </c>
      <c r="F92" s="14" t="s">
        <v>515</v>
      </c>
      <c r="G92" s="13" t="s">
        <v>183</v>
      </c>
      <c r="H92" s="13" t="s">
        <v>53</v>
      </c>
      <c r="I92" s="15">
        <v>1</v>
      </c>
      <c r="J92" s="14"/>
      <c r="K92" s="13" t="s">
        <v>54</v>
      </c>
      <c r="L92" s="13">
        <f>IF(K92="Có","Chờ",ROUNDUP(SUMIFS($I$5:I92,$K$5:K92,"Không")/'Hướng dẫn'!$C$7,0))</f>
        <v>10</v>
      </c>
      <c r="M92" s="16">
        <f>IF(ISNUMBER(L92),WORKDAY('Hướng dẫn'!$C$6,L92-1),"")</f>
        <v>46335</v>
      </c>
      <c r="N92" s="17"/>
      <c r="O92" s="18"/>
      <c r="P92" s="17" t="s">
        <v>55</v>
      </c>
      <c r="Q92" s="17"/>
      <c r="R92" s="20" t="s">
        <v>184</v>
      </c>
      <c r="S92" s="20" t="str">
        <f>IF(K92="Có",COUNTIF($K$5:K92,"Có"),"")</f>
        <v/>
      </c>
    </row>
    <row r="93" spans="1:19" ht="39.6" x14ac:dyDescent="0.3">
      <c r="A93" s="13" t="s">
        <v>516</v>
      </c>
      <c r="B93" s="14" t="s">
        <v>498</v>
      </c>
      <c r="C93" s="13" t="s">
        <v>80</v>
      </c>
      <c r="D93" s="14" t="s">
        <v>517</v>
      </c>
      <c r="E93" s="14" t="s">
        <v>518</v>
      </c>
      <c r="F93" s="14" t="s">
        <v>519</v>
      </c>
      <c r="G93" s="13" t="s">
        <v>248</v>
      </c>
      <c r="H93" s="13" t="s">
        <v>53</v>
      </c>
      <c r="I93" s="15">
        <v>1</v>
      </c>
      <c r="J93" s="14"/>
      <c r="K93" s="13" t="s">
        <v>54</v>
      </c>
      <c r="L93" s="13">
        <f>IF(K93="Có","Chờ",ROUNDUP(SUMIFS($I$5:I93,$K$5:K93,"Không")/'Hướng dẫn'!$C$7,0))</f>
        <v>11</v>
      </c>
      <c r="M93" s="16">
        <f>IF(ISNUMBER(L93),WORKDAY('Hướng dẫn'!$C$6,L93-1),"")</f>
        <v>46336</v>
      </c>
      <c r="N93" s="17"/>
      <c r="O93" s="18"/>
      <c r="P93" s="17" t="s">
        <v>55</v>
      </c>
      <c r="Q93" s="17"/>
      <c r="R93" s="20" t="s">
        <v>249</v>
      </c>
      <c r="S93" s="20" t="str">
        <f>IF(K93="Có",COUNTIF($K$5:K93,"Có"),"")</f>
        <v/>
      </c>
    </row>
    <row r="94" spans="1:19" ht="39.6" x14ac:dyDescent="0.3">
      <c r="A94" s="13" t="s">
        <v>520</v>
      </c>
      <c r="B94" s="14" t="s">
        <v>498</v>
      </c>
      <c r="C94" s="13" t="s">
        <v>80</v>
      </c>
      <c r="D94" s="14" t="s">
        <v>521</v>
      </c>
      <c r="E94" s="14" t="s">
        <v>522</v>
      </c>
      <c r="F94" s="14" t="s">
        <v>523</v>
      </c>
      <c r="G94" s="13" t="s">
        <v>524</v>
      </c>
      <c r="H94" s="13" t="s">
        <v>53</v>
      </c>
      <c r="I94" s="15">
        <v>0.5</v>
      </c>
      <c r="J94" s="14" t="s">
        <v>525</v>
      </c>
      <c r="K94" s="13" t="s">
        <v>361</v>
      </c>
      <c r="L94" s="13" t="str">
        <f>IF(K94="Có","Chờ",ROUNDUP(SUMIFS($I$5:I94,$K$5:K94,"Không")/'Hướng dẫn'!$C$7,0))</f>
        <v>Chờ</v>
      </c>
      <c r="M94" s="16" t="str">
        <f>IF(ISNUMBER(L94),WORKDAY('Hướng dẫn'!$C$6,L94-1),"")</f>
        <v/>
      </c>
      <c r="N94" s="17"/>
      <c r="O94" s="18"/>
      <c r="P94" s="17" t="s">
        <v>362</v>
      </c>
      <c r="Q94" s="17"/>
      <c r="R94" s="20" t="s">
        <v>526</v>
      </c>
      <c r="S94" s="20">
        <f>IF(K94="Có",COUNTIF($K$5:K94,"Có"),"")</f>
        <v>2</v>
      </c>
    </row>
    <row r="95" spans="1:19" ht="39.6" x14ac:dyDescent="0.3">
      <c r="A95" s="13" t="s">
        <v>527</v>
      </c>
      <c r="B95" s="14" t="s">
        <v>498</v>
      </c>
      <c r="C95" s="13" t="s">
        <v>80</v>
      </c>
      <c r="D95" s="14" t="s">
        <v>528</v>
      </c>
      <c r="E95" s="14" t="s">
        <v>529</v>
      </c>
      <c r="F95" s="14" t="s">
        <v>530</v>
      </c>
      <c r="G95" s="13" t="s">
        <v>531</v>
      </c>
      <c r="H95" s="13" t="s">
        <v>53</v>
      </c>
      <c r="I95" s="15">
        <v>0.5</v>
      </c>
      <c r="J95" s="14" t="s">
        <v>525</v>
      </c>
      <c r="K95" s="13" t="s">
        <v>361</v>
      </c>
      <c r="L95" s="13" t="str">
        <f>IF(K95="Có","Chờ",ROUNDUP(SUMIFS($I$5:I95,$K$5:K95,"Không")/'Hướng dẫn'!$C$7,0))</f>
        <v>Chờ</v>
      </c>
      <c r="M95" s="16" t="str">
        <f>IF(ISNUMBER(L95),WORKDAY('Hướng dẫn'!$C$6,L95-1),"")</f>
        <v/>
      </c>
      <c r="N95" s="17"/>
      <c r="O95" s="18"/>
      <c r="P95" s="17" t="s">
        <v>362</v>
      </c>
      <c r="Q95" s="17"/>
      <c r="R95" s="20" t="s">
        <v>532</v>
      </c>
      <c r="S95" s="20">
        <f>IF(K95="Có",COUNTIF($K$5:K95,"Có"),"")</f>
        <v>3</v>
      </c>
    </row>
    <row r="96" spans="1:19" ht="39.6" x14ac:dyDescent="0.3">
      <c r="A96" s="13" t="s">
        <v>533</v>
      </c>
      <c r="B96" s="14" t="s">
        <v>498</v>
      </c>
      <c r="C96" s="13" t="s">
        <v>80</v>
      </c>
      <c r="D96" s="14" t="s">
        <v>534</v>
      </c>
      <c r="E96" s="14" t="s">
        <v>535</v>
      </c>
      <c r="F96" s="14" t="s">
        <v>536</v>
      </c>
      <c r="G96" s="13" t="s">
        <v>195</v>
      </c>
      <c r="H96" s="13" t="s">
        <v>53</v>
      </c>
      <c r="I96" s="15">
        <v>1</v>
      </c>
      <c r="J96" s="14"/>
      <c r="K96" s="13" t="s">
        <v>54</v>
      </c>
      <c r="L96" s="13">
        <f>IF(K96="Có","Chờ",ROUNDUP(SUMIFS($I$5:I96,$K$5:K96,"Không")/'Hướng dẫn'!$C$7,0))</f>
        <v>11</v>
      </c>
      <c r="M96" s="16">
        <f>IF(ISNUMBER(L96),WORKDAY('Hướng dẫn'!$C$6,L96-1),"")</f>
        <v>46336</v>
      </c>
      <c r="N96" s="17"/>
      <c r="O96" s="18"/>
      <c r="P96" s="17" t="s">
        <v>55</v>
      </c>
      <c r="Q96" s="17"/>
      <c r="R96" s="20" t="s">
        <v>196</v>
      </c>
      <c r="S96" s="20" t="str">
        <f>IF(K96="Có",COUNTIF($K$5:K96,"Có"),"")</f>
        <v/>
      </c>
    </row>
    <row r="97" spans="1:19" ht="39.6" x14ac:dyDescent="0.3">
      <c r="A97" s="13" t="s">
        <v>537</v>
      </c>
      <c r="B97" s="14" t="s">
        <v>498</v>
      </c>
      <c r="C97" s="13" t="s">
        <v>80</v>
      </c>
      <c r="D97" s="14" t="s">
        <v>538</v>
      </c>
      <c r="E97" s="14" t="s">
        <v>539</v>
      </c>
      <c r="F97" s="14" t="s">
        <v>540</v>
      </c>
      <c r="G97" s="13" t="s">
        <v>541</v>
      </c>
      <c r="H97" s="13" t="s">
        <v>53</v>
      </c>
      <c r="I97" s="15">
        <v>0.5</v>
      </c>
      <c r="J97" s="14" t="s">
        <v>525</v>
      </c>
      <c r="K97" s="13" t="s">
        <v>361</v>
      </c>
      <c r="L97" s="13" t="str">
        <f>IF(K97="Có","Chờ",ROUNDUP(SUMIFS($I$5:I97,$K$5:K97,"Không")/'Hướng dẫn'!$C$7,0))</f>
        <v>Chờ</v>
      </c>
      <c r="M97" s="16" t="str">
        <f>IF(ISNUMBER(L97),WORKDAY('Hướng dẫn'!$C$6,L97-1),"")</f>
        <v/>
      </c>
      <c r="N97" s="17"/>
      <c r="O97" s="18"/>
      <c r="P97" s="17" t="s">
        <v>362</v>
      </c>
      <c r="Q97" s="17"/>
      <c r="R97" s="20" t="s">
        <v>542</v>
      </c>
      <c r="S97" s="20">
        <f>IF(K97="Có",COUNTIF($K$5:K97,"Có"),"")</f>
        <v>4</v>
      </c>
    </row>
    <row r="98" spans="1:19" ht="39.6" x14ac:dyDescent="0.3">
      <c r="A98" s="13" t="s">
        <v>543</v>
      </c>
      <c r="B98" s="14" t="s">
        <v>498</v>
      </c>
      <c r="C98" s="13" t="s">
        <v>80</v>
      </c>
      <c r="D98" s="14" t="s">
        <v>544</v>
      </c>
      <c r="E98" s="14" t="s">
        <v>545</v>
      </c>
      <c r="F98" s="14" t="s">
        <v>540</v>
      </c>
      <c r="G98" s="13" t="s">
        <v>546</v>
      </c>
      <c r="H98" s="13" t="s">
        <v>53</v>
      </c>
      <c r="I98" s="15">
        <v>0.5</v>
      </c>
      <c r="J98" s="14" t="s">
        <v>525</v>
      </c>
      <c r="K98" s="13" t="s">
        <v>361</v>
      </c>
      <c r="L98" s="13" t="str">
        <f>IF(K98="Có","Chờ",ROUNDUP(SUMIFS($I$5:I98,$K$5:K98,"Không")/'Hướng dẫn'!$C$7,0))</f>
        <v>Chờ</v>
      </c>
      <c r="M98" s="16" t="str">
        <f>IF(ISNUMBER(L98),WORKDAY('Hướng dẫn'!$C$6,L98-1),"")</f>
        <v/>
      </c>
      <c r="N98" s="17"/>
      <c r="O98" s="18"/>
      <c r="P98" s="17" t="s">
        <v>362</v>
      </c>
      <c r="Q98" s="17"/>
      <c r="R98" s="20" t="s">
        <v>547</v>
      </c>
      <c r="S98" s="20">
        <f>IF(K98="Có",COUNTIF($K$5:K98,"Có"),"")</f>
        <v>5</v>
      </c>
    </row>
    <row r="99" spans="1:19" ht="39.6" x14ac:dyDescent="0.3">
      <c r="A99" s="13" t="s">
        <v>548</v>
      </c>
      <c r="B99" s="14" t="s">
        <v>498</v>
      </c>
      <c r="C99" s="13" t="s">
        <v>80</v>
      </c>
      <c r="D99" s="14" t="s">
        <v>549</v>
      </c>
      <c r="E99" s="14" t="s">
        <v>550</v>
      </c>
      <c r="F99" s="14" t="s">
        <v>551</v>
      </c>
      <c r="G99" s="13" t="s">
        <v>353</v>
      </c>
      <c r="H99" s="13" t="s">
        <v>53</v>
      </c>
      <c r="I99" s="15">
        <v>1</v>
      </c>
      <c r="J99" s="14"/>
      <c r="K99" s="13" t="s">
        <v>54</v>
      </c>
      <c r="L99" s="13">
        <f>IF(K99="Có","Chờ",ROUNDUP(SUMIFS($I$5:I99,$K$5:K99,"Không")/'Hướng dẫn'!$C$7,0))</f>
        <v>11</v>
      </c>
      <c r="M99" s="16">
        <f>IF(ISNUMBER(L99),WORKDAY('Hướng dẫn'!$C$6,L99-1),"")</f>
        <v>46336</v>
      </c>
      <c r="N99" s="17"/>
      <c r="O99" s="18"/>
      <c r="P99" s="17" t="s">
        <v>55</v>
      </c>
      <c r="Q99" s="17"/>
      <c r="R99" s="20" t="s">
        <v>354</v>
      </c>
      <c r="S99" s="20" t="str">
        <f>IF(K99="Có",COUNTIF($K$5:K99,"Có"),"")</f>
        <v/>
      </c>
    </row>
    <row r="100" spans="1:19" ht="39.6" x14ac:dyDescent="0.3">
      <c r="A100" s="13" t="s">
        <v>552</v>
      </c>
      <c r="B100" s="14" t="s">
        <v>498</v>
      </c>
      <c r="C100" s="13" t="s">
        <v>80</v>
      </c>
      <c r="D100" s="14" t="s">
        <v>553</v>
      </c>
      <c r="E100" s="14" t="s">
        <v>554</v>
      </c>
      <c r="F100" s="14" t="s">
        <v>555</v>
      </c>
      <c r="G100" s="13" t="s">
        <v>556</v>
      </c>
      <c r="H100" s="13" t="s">
        <v>53</v>
      </c>
      <c r="I100" s="15">
        <v>1</v>
      </c>
      <c r="J100" s="14"/>
      <c r="K100" s="13" t="s">
        <v>54</v>
      </c>
      <c r="L100" s="13">
        <f>IF(K100="Có","Chờ",ROUNDUP(SUMIFS($I$5:I100,$K$5:K100,"Không")/'Hướng dẫn'!$C$7,0))</f>
        <v>11</v>
      </c>
      <c r="M100" s="16">
        <f>IF(ISNUMBER(L100),WORKDAY('Hướng dẫn'!$C$6,L100-1),"")</f>
        <v>46336</v>
      </c>
      <c r="N100" s="17"/>
      <c r="O100" s="18"/>
      <c r="P100" s="17" t="s">
        <v>55</v>
      </c>
      <c r="Q100" s="17"/>
      <c r="R100" s="20" t="s">
        <v>557</v>
      </c>
      <c r="S100" s="20" t="str">
        <f>IF(K100="Có",COUNTIF($K$5:K100,"Có"),"")</f>
        <v/>
      </c>
    </row>
    <row r="101" spans="1:19" ht="39.6" x14ac:dyDescent="0.3">
      <c r="A101" s="13" t="s">
        <v>558</v>
      </c>
      <c r="B101" s="14" t="s">
        <v>498</v>
      </c>
      <c r="C101" s="13" t="s">
        <v>80</v>
      </c>
      <c r="D101" s="14" t="s">
        <v>559</v>
      </c>
      <c r="E101" s="14" t="s">
        <v>560</v>
      </c>
      <c r="F101" s="14" t="s">
        <v>561</v>
      </c>
      <c r="G101" s="13" t="s">
        <v>562</v>
      </c>
      <c r="H101" s="13" t="s">
        <v>53</v>
      </c>
      <c r="I101" s="15">
        <v>1</v>
      </c>
      <c r="J101" s="14"/>
      <c r="K101" s="13" t="s">
        <v>54</v>
      </c>
      <c r="L101" s="13">
        <f>IF(K101="Có","Chờ",ROUNDUP(SUMIFS($I$5:I101,$K$5:K101,"Không")/'Hướng dẫn'!$C$7,0))</f>
        <v>11</v>
      </c>
      <c r="M101" s="16">
        <f>IF(ISNUMBER(L101),WORKDAY('Hướng dẫn'!$C$6,L101-1),"")</f>
        <v>46336</v>
      </c>
      <c r="N101" s="17"/>
      <c r="O101" s="18"/>
      <c r="P101" s="17" t="s">
        <v>55</v>
      </c>
      <c r="Q101" s="17"/>
      <c r="R101" s="20" t="s">
        <v>563</v>
      </c>
      <c r="S101" s="20" t="str">
        <f>IF(K101="Có",COUNTIF($K$5:K101,"Có"),"")</f>
        <v/>
      </c>
    </row>
    <row r="102" spans="1:19" ht="39.6" x14ac:dyDescent="0.3">
      <c r="A102" s="13" t="s">
        <v>564</v>
      </c>
      <c r="B102" s="14" t="s">
        <v>498</v>
      </c>
      <c r="C102" s="13" t="s">
        <v>80</v>
      </c>
      <c r="D102" s="14" t="s">
        <v>565</v>
      </c>
      <c r="E102" s="14" t="s">
        <v>566</v>
      </c>
      <c r="F102" s="14" t="s">
        <v>567</v>
      </c>
      <c r="G102" s="13" t="s">
        <v>189</v>
      </c>
      <c r="H102" s="13" t="s">
        <v>53</v>
      </c>
      <c r="I102" s="15">
        <v>1</v>
      </c>
      <c r="J102" s="14"/>
      <c r="K102" s="13" t="s">
        <v>54</v>
      </c>
      <c r="L102" s="13">
        <f>IF(K102="Có","Chờ",ROUNDUP(SUMIFS($I$5:I102,$K$5:K102,"Không")/'Hướng dẫn'!$C$7,0))</f>
        <v>11</v>
      </c>
      <c r="M102" s="16">
        <f>IF(ISNUMBER(L102),WORKDAY('Hướng dẫn'!$C$6,L102-1),"")</f>
        <v>46336</v>
      </c>
      <c r="N102" s="17"/>
      <c r="O102" s="18"/>
      <c r="P102" s="17" t="s">
        <v>55</v>
      </c>
      <c r="Q102" s="17"/>
      <c r="R102" s="20" t="s">
        <v>190</v>
      </c>
      <c r="S102" s="20" t="str">
        <f>IF(K102="Có",COUNTIF($K$5:K102,"Có"),"")</f>
        <v/>
      </c>
    </row>
    <row r="103" spans="1:19" ht="39.6" x14ac:dyDescent="0.3">
      <c r="A103" s="13" t="s">
        <v>568</v>
      </c>
      <c r="B103" s="14" t="s">
        <v>498</v>
      </c>
      <c r="C103" s="13" t="s">
        <v>80</v>
      </c>
      <c r="D103" s="14" t="s">
        <v>569</v>
      </c>
      <c r="E103" s="14" t="s">
        <v>570</v>
      </c>
      <c r="F103" s="14" t="s">
        <v>571</v>
      </c>
      <c r="G103" s="13" t="s">
        <v>201</v>
      </c>
      <c r="H103" s="13" t="s">
        <v>53</v>
      </c>
      <c r="I103" s="15">
        <v>1</v>
      </c>
      <c r="J103" s="14"/>
      <c r="K103" s="13" t="s">
        <v>54</v>
      </c>
      <c r="L103" s="13">
        <f>IF(K103="Có","Chờ",ROUNDUP(SUMIFS($I$5:I103,$K$5:K103,"Không")/'Hướng dẫn'!$C$7,0))</f>
        <v>12</v>
      </c>
      <c r="M103" s="16">
        <f>IF(ISNUMBER(L103),WORKDAY('Hướng dẫn'!$C$6,L103-1),"")</f>
        <v>46337</v>
      </c>
      <c r="N103" s="17"/>
      <c r="O103" s="18"/>
      <c r="P103" s="17" t="s">
        <v>55</v>
      </c>
      <c r="Q103" s="17"/>
      <c r="R103" s="20" t="s">
        <v>202</v>
      </c>
      <c r="S103" s="20" t="str">
        <f>IF(K103="Có",COUNTIF($K$5:K103,"Có"),"")</f>
        <v/>
      </c>
    </row>
    <row r="104" spans="1:19" ht="39.6" x14ac:dyDescent="0.3">
      <c r="A104" s="13" t="s">
        <v>572</v>
      </c>
      <c r="B104" s="14" t="s">
        <v>498</v>
      </c>
      <c r="C104" s="13" t="s">
        <v>80</v>
      </c>
      <c r="D104" s="14" t="s">
        <v>573</v>
      </c>
      <c r="E104" s="14" t="s">
        <v>574</v>
      </c>
      <c r="F104" s="14" t="s">
        <v>575</v>
      </c>
      <c r="G104" s="13" t="s">
        <v>207</v>
      </c>
      <c r="H104" s="13" t="s">
        <v>53</v>
      </c>
      <c r="I104" s="15">
        <v>1</v>
      </c>
      <c r="J104" s="14"/>
      <c r="K104" s="13" t="s">
        <v>54</v>
      </c>
      <c r="L104" s="13">
        <f>IF(K104="Có","Chờ",ROUNDUP(SUMIFS($I$5:I104,$K$5:K104,"Không")/'Hướng dẫn'!$C$7,0))</f>
        <v>12</v>
      </c>
      <c r="M104" s="16">
        <f>IF(ISNUMBER(L104),WORKDAY('Hướng dẫn'!$C$6,L104-1),"")</f>
        <v>46337</v>
      </c>
      <c r="N104" s="17"/>
      <c r="O104" s="18"/>
      <c r="P104" s="17" t="s">
        <v>55</v>
      </c>
      <c r="Q104" s="17"/>
      <c r="R104" s="20" t="s">
        <v>208</v>
      </c>
      <c r="S104" s="20" t="str">
        <f>IF(K104="Có",COUNTIF($K$5:K104,"Có"),"")</f>
        <v/>
      </c>
    </row>
    <row r="105" spans="1:19" ht="39.6" x14ac:dyDescent="0.3">
      <c r="A105" s="13" t="s">
        <v>576</v>
      </c>
      <c r="B105" s="14" t="s">
        <v>498</v>
      </c>
      <c r="C105" s="13" t="s">
        <v>80</v>
      </c>
      <c r="D105" s="14" t="s">
        <v>577</v>
      </c>
      <c r="E105" s="14" t="s">
        <v>578</v>
      </c>
      <c r="F105" s="14" t="s">
        <v>579</v>
      </c>
      <c r="G105" s="13" t="s">
        <v>225</v>
      </c>
      <c r="H105" s="13" t="s">
        <v>53</v>
      </c>
      <c r="I105" s="15">
        <v>1</v>
      </c>
      <c r="J105" s="14"/>
      <c r="K105" s="13" t="s">
        <v>54</v>
      </c>
      <c r="L105" s="13">
        <f>IF(K105="Có","Chờ",ROUNDUP(SUMIFS($I$5:I105,$K$5:K105,"Không")/'Hướng dẫn'!$C$7,0))</f>
        <v>12</v>
      </c>
      <c r="M105" s="16">
        <f>IF(ISNUMBER(L105),WORKDAY('Hướng dẫn'!$C$6,L105-1),"")</f>
        <v>46337</v>
      </c>
      <c r="N105" s="17"/>
      <c r="O105" s="18"/>
      <c r="P105" s="17" t="s">
        <v>55</v>
      </c>
      <c r="Q105" s="17"/>
      <c r="R105" s="20" t="s">
        <v>226</v>
      </c>
      <c r="S105" s="20" t="str">
        <f>IF(K105="Có",COUNTIF($K$5:K105,"Có"),"")</f>
        <v/>
      </c>
    </row>
    <row r="106" spans="1:19" ht="39.6" x14ac:dyDescent="0.3">
      <c r="A106" s="13" t="s">
        <v>580</v>
      </c>
      <c r="B106" s="14" t="s">
        <v>498</v>
      </c>
      <c r="C106" s="13" t="s">
        <v>80</v>
      </c>
      <c r="D106" s="14" t="s">
        <v>581</v>
      </c>
      <c r="E106" s="14" t="s">
        <v>582</v>
      </c>
      <c r="F106" s="14" t="s">
        <v>583</v>
      </c>
      <c r="G106" s="13" t="s">
        <v>240</v>
      </c>
      <c r="H106" s="13" t="s">
        <v>53</v>
      </c>
      <c r="I106" s="15">
        <v>1</v>
      </c>
      <c r="J106" s="14"/>
      <c r="K106" s="13" t="s">
        <v>54</v>
      </c>
      <c r="L106" s="13">
        <f>IF(K106="Có","Chờ",ROUNDUP(SUMIFS($I$5:I106,$K$5:K106,"Không")/'Hướng dẫn'!$C$7,0))</f>
        <v>12</v>
      </c>
      <c r="M106" s="16">
        <f>IF(ISNUMBER(L106),WORKDAY('Hướng dẫn'!$C$6,L106-1),"")</f>
        <v>46337</v>
      </c>
      <c r="N106" s="17"/>
      <c r="O106" s="18"/>
      <c r="P106" s="17" t="s">
        <v>55</v>
      </c>
      <c r="Q106" s="17"/>
      <c r="R106" s="20" t="s">
        <v>241</v>
      </c>
      <c r="S106" s="20" t="str">
        <f>IF(K106="Có",COUNTIF($K$5:K106,"Có"),"")</f>
        <v/>
      </c>
    </row>
    <row r="107" spans="1:19" ht="39.6" x14ac:dyDescent="0.3">
      <c r="A107" s="13" t="s">
        <v>584</v>
      </c>
      <c r="B107" s="14" t="s">
        <v>498</v>
      </c>
      <c r="C107" s="13" t="s">
        <v>80</v>
      </c>
      <c r="D107" s="14" t="s">
        <v>585</v>
      </c>
      <c r="E107" s="14" t="s">
        <v>586</v>
      </c>
      <c r="F107" s="14" t="s">
        <v>587</v>
      </c>
      <c r="G107" s="13" t="s">
        <v>443</v>
      </c>
      <c r="H107" s="13" t="s">
        <v>53</v>
      </c>
      <c r="I107" s="15">
        <v>1</v>
      </c>
      <c r="J107" s="14"/>
      <c r="K107" s="13" t="s">
        <v>54</v>
      </c>
      <c r="L107" s="13">
        <f>IF(K107="Có","Chờ",ROUNDUP(SUMIFS($I$5:I107,$K$5:K107,"Không")/'Hướng dẫn'!$C$7,0))</f>
        <v>12</v>
      </c>
      <c r="M107" s="16">
        <f>IF(ISNUMBER(L107),WORKDAY('Hướng dẫn'!$C$6,L107-1),"")</f>
        <v>46337</v>
      </c>
      <c r="N107" s="17"/>
      <c r="O107" s="18"/>
      <c r="P107" s="17" t="s">
        <v>55</v>
      </c>
      <c r="Q107" s="17"/>
      <c r="R107" s="20" t="s">
        <v>444</v>
      </c>
      <c r="S107" s="20" t="str">
        <f>IF(K107="Có",COUNTIF($K$5:K107,"Có"),"")</f>
        <v/>
      </c>
    </row>
    <row r="108" spans="1:19" ht="39.6" x14ac:dyDescent="0.3">
      <c r="A108" s="13" t="s">
        <v>588</v>
      </c>
      <c r="B108" s="14" t="s">
        <v>498</v>
      </c>
      <c r="C108" s="13" t="s">
        <v>80</v>
      </c>
      <c r="D108" s="14" t="s">
        <v>589</v>
      </c>
      <c r="E108" s="14" t="s">
        <v>590</v>
      </c>
      <c r="F108" s="14" t="s">
        <v>591</v>
      </c>
      <c r="G108" s="13" t="s">
        <v>450</v>
      </c>
      <c r="H108" s="13" t="s">
        <v>53</v>
      </c>
      <c r="I108" s="15">
        <v>1</v>
      </c>
      <c r="J108" s="14"/>
      <c r="K108" s="13" t="s">
        <v>54</v>
      </c>
      <c r="L108" s="13">
        <f>IF(K108="Có","Chờ",ROUNDUP(SUMIFS($I$5:I108,$K$5:K108,"Không")/'Hướng dẫn'!$C$7,0))</f>
        <v>12</v>
      </c>
      <c r="M108" s="16">
        <f>IF(ISNUMBER(L108),WORKDAY('Hướng dẫn'!$C$6,L108-1),"")</f>
        <v>46337</v>
      </c>
      <c r="N108" s="17"/>
      <c r="O108" s="18"/>
      <c r="P108" s="17" t="s">
        <v>55</v>
      </c>
      <c r="Q108" s="17"/>
      <c r="R108" s="20" t="s">
        <v>451</v>
      </c>
      <c r="S108" s="20" t="str">
        <f>IF(K108="Có",COUNTIF($K$5:K108,"Có"),"")</f>
        <v/>
      </c>
    </row>
    <row r="109" spans="1:19" ht="39.6" x14ac:dyDescent="0.3">
      <c r="A109" s="13" t="s">
        <v>592</v>
      </c>
      <c r="B109" s="14" t="s">
        <v>498</v>
      </c>
      <c r="C109" s="13" t="s">
        <v>80</v>
      </c>
      <c r="D109" s="14" t="s">
        <v>593</v>
      </c>
      <c r="E109" s="14" t="s">
        <v>594</v>
      </c>
      <c r="F109" s="14" t="s">
        <v>595</v>
      </c>
      <c r="G109" s="13" t="s">
        <v>430</v>
      </c>
      <c r="H109" s="13" t="s">
        <v>53</v>
      </c>
      <c r="I109" s="15">
        <v>1</v>
      </c>
      <c r="J109" s="14"/>
      <c r="K109" s="13" t="s">
        <v>54</v>
      </c>
      <c r="L109" s="13">
        <f>IF(K109="Có","Chờ",ROUNDUP(SUMIFS($I$5:I109,$K$5:K109,"Không")/'Hướng dẫn'!$C$7,0))</f>
        <v>13</v>
      </c>
      <c r="M109" s="16">
        <f>IF(ISNUMBER(L109),WORKDAY('Hướng dẫn'!$C$6,L109-1),"")</f>
        <v>46338</v>
      </c>
      <c r="N109" s="17"/>
      <c r="O109" s="18"/>
      <c r="P109" s="17" t="s">
        <v>55</v>
      </c>
      <c r="Q109" s="17"/>
      <c r="R109" s="20" t="s">
        <v>431</v>
      </c>
      <c r="S109" s="20" t="str">
        <f>IF(K109="Có",COUNTIF($K$5:K109,"Có"),"")</f>
        <v/>
      </c>
    </row>
    <row r="110" spans="1:19" ht="39.6" x14ac:dyDescent="0.3">
      <c r="A110" s="13" t="s">
        <v>596</v>
      </c>
      <c r="B110" s="14" t="s">
        <v>498</v>
      </c>
      <c r="C110" s="13" t="s">
        <v>80</v>
      </c>
      <c r="D110" s="14" t="s">
        <v>597</v>
      </c>
      <c r="E110" s="14" t="s">
        <v>598</v>
      </c>
      <c r="F110" s="14" t="s">
        <v>599</v>
      </c>
      <c r="G110" s="13" t="s">
        <v>600</v>
      </c>
      <c r="H110" s="13" t="s">
        <v>53</v>
      </c>
      <c r="I110" s="15">
        <v>1</v>
      </c>
      <c r="J110" s="14"/>
      <c r="K110" s="13" t="s">
        <v>54</v>
      </c>
      <c r="L110" s="13">
        <f>IF(K110="Có","Chờ",ROUNDUP(SUMIFS($I$5:I110,$K$5:K110,"Không")/'Hướng dẫn'!$C$7,0))</f>
        <v>13</v>
      </c>
      <c r="M110" s="16">
        <f>IF(ISNUMBER(L110),WORKDAY('Hướng dẫn'!$C$6,L110-1),"")</f>
        <v>46338</v>
      </c>
      <c r="N110" s="17"/>
      <c r="O110" s="18"/>
      <c r="P110" s="17" t="s">
        <v>55</v>
      </c>
      <c r="Q110" s="17"/>
      <c r="R110" s="20" t="s">
        <v>601</v>
      </c>
      <c r="S110" s="20" t="str">
        <f>IF(K110="Có",COUNTIF($K$5:K110,"Có"),"")</f>
        <v/>
      </c>
    </row>
    <row r="111" spans="1:19" ht="39.6" x14ac:dyDescent="0.3">
      <c r="A111" s="13" t="s">
        <v>602</v>
      </c>
      <c r="B111" s="14" t="s">
        <v>498</v>
      </c>
      <c r="C111" s="13" t="s">
        <v>80</v>
      </c>
      <c r="D111" s="14" t="s">
        <v>603</v>
      </c>
      <c r="E111" s="14" t="s">
        <v>604</v>
      </c>
      <c r="F111" s="14" t="s">
        <v>605</v>
      </c>
      <c r="G111" s="13" t="s">
        <v>331</v>
      </c>
      <c r="H111" s="13" t="s">
        <v>53</v>
      </c>
      <c r="I111" s="15">
        <v>1</v>
      </c>
      <c r="J111" s="14"/>
      <c r="K111" s="13" t="s">
        <v>54</v>
      </c>
      <c r="L111" s="13">
        <f>IF(K111="Có","Chờ",ROUNDUP(SUMIFS($I$5:I111,$K$5:K111,"Không")/'Hướng dẫn'!$C$7,0))</f>
        <v>13</v>
      </c>
      <c r="M111" s="16">
        <f>IF(ISNUMBER(L111),WORKDAY('Hướng dẫn'!$C$6,L111-1),"")</f>
        <v>46338</v>
      </c>
      <c r="N111" s="17"/>
      <c r="O111" s="18"/>
      <c r="P111" s="17" t="s">
        <v>55</v>
      </c>
      <c r="Q111" s="17"/>
      <c r="R111" s="20" t="s">
        <v>332</v>
      </c>
      <c r="S111" s="20" t="str">
        <f>IF(K111="Có",COUNTIF($K$5:K111,"Có"),"")</f>
        <v/>
      </c>
    </row>
    <row r="112" spans="1:19" ht="39.6" x14ac:dyDescent="0.3">
      <c r="A112" s="13" t="s">
        <v>606</v>
      </c>
      <c r="B112" s="14" t="s">
        <v>498</v>
      </c>
      <c r="C112" s="13" t="s">
        <v>80</v>
      </c>
      <c r="D112" s="14" t="s">
        <v>607</v>
      </c>
      <c r="E112" s="14" t="s">
        <v>608</v>
      </c>
      <c r="F112" s="14" t="s">
        <v>609</v>
      </c>
      <c r="G112" s="13" t="s">
        <v>463</v>
      </c>
      <c r="H112" s="13" t="s">
        <v>53</v>
      </c>
      <c r="I112" s="15">
        <v>1</v>
      </c>
      <c r="J112" s="14"/>
      <c r="K112" s="13" t="s">
        <v>54</v>
      </c>
      <c r="L112" s="13">
        <f>IF(K112="Có","Chờ",ROUNDUP(SUMIFS($I$5:I112,$K$5:K112,"Không")/'Hướng dẫn'!$C$7,0))</f>
        <v>13</v>
      </c>
      <c r="M112" s="16">
        <f>IF(ISNUMBER(L112),WORKDAY('Hướng dẫn'!$C$6,L112-1),"")</f>
        <v>46338</v>
      </c>
      <c r="N112" s="17"/>
      <c r="O112" s="18"/>
      <c r="P112" s="17" t="s">
        <v>55</v>
      </c>
      <c r="Q112" s="17"/>
      <c r="R112" s="20" t="s">
        <v>464</v>
      </c>
      <c r="S112" s="20" t="str">
        <f>IF(K112="Có",COUNTIF($K$5:K112,"Có"),"")</f>
        <v/>
      </c>
    </row>
    <row r="113" spans="1:19" ht="39.6" x14ac:dyDescent="0.3">
      <c r="A113" s="13" t="s">
        <v>610</v>
      </c>
      <c r="B113" s="14" t="s">
        <v>498</v>
      </c>
      <c r="C113" s="13" t="s">
        <v>80</v>
      </c>
      <c r="D113" s="14" t="s">
        <v>611</v>
      </c>
      <c r="E113" s="14" t="s">
        <v>612</v>
      </c>
      <c r="F113" s="14" t="s">
        <v>613</v>
      </c>
      <c r="G113" s="13" t="s">
        <v>436</v>
      </c>
      <c r="H113" s="13" t="s">
        <v>53</v>
      </c>
      <c r="I113" s="15">
        <v>1</v>
      </c>
      <c r="J113" s="14"/>
      <c r="K113" s="13" t="s">
        <v>54</v>
      </c>
      <c r="L113" s="13">
        <f>IF(K113="Có","Chờ",ROUNDUP(SUMIFS($I$5:I113,$K$5:K113,"Không")/'Hướng dẫn'!$C$7,0))</f>
        <v>13</v>
      </c>
      <c r="M113" s="16">
        <f>IF(ISNUMBER(L113),WORKDAY('Hướng dẫn'!$C$6,L113-1),"")</f>
        <v>46338</v>
      </c>
      <c r="N113" s="17"/>
      <c r="O113" s="18"/>
      <c r="P113" s="17" t="s">
        <v>55</v>
      </c>
      <c r="Q113" s="17"/>
      <c r="R113" s="20" t="s">
        <v>437</v>
      </c>
      <c r="S113" s="20" t="str">
        <f>IF(K113="Có",COUNTIF($K$5:K113,"Có"),"")</f>
        <v/>
      </c>
    </row>
    <row r="114" spans="1:19" ht="26.4" x14ac:dyDescent="0.3">
      <c r="A114" s="13" t="s">
        <v>614</v>
      </c>
      <c r="B114" s="14" t="s">
        <v>615</v>
      </c>
      <c r="C114" s="13" t="s">
        <v>244</v>
      </c>
      <c r="D114" s="14" t="s">
        <v>616</v>
      </c>
      <c r="E114" s="14" t="s">
        <v>617</v>
      </c>
      <c r="F114" s="14" t="s">
        <v>618</v>
      </c>
      <c r="G114" s="13" t="s">
        <v>359</v>
      </c>
      <c r="H114" s="13" t="s">
        <v>53</v>
      </c>
      <c r="I114" s="15">
        <v>1</v>
      </c>
      <c r="J114" s="14" t="s">
        <v>619</v>
      </c>
      <c r="K114" s="13" t="s">
        <v>361</v>
      </c>
      <c r="L114" s="13" t="str">
        <f>IF(K114="Có","Chờ",ROUNDUP(SUMIFS($I$5:I114,$K$5:K114,"Không")/'Hướng dẫn'!$C$7,0))</f>
        <v>Chờ</v>
      </c>
      <c r="M114" s="16" t="str">
        <f>IF(ISNUMBER(L114),WORKDAY('Hướng dẫn'!$C$6,L114-1),"")</f>
        <v/>
      </c>
      <c r="N114" s="17"/>
      <c r="O114" s="18"/>
      <c r="P114" s="17" t="s">
        <v>362</v>
      </c>
      <c r="Q114" s="17"/>
      <c r="R114" s="20" t="s">
        <v>363</v>
      </c>
      <c r="S114" s="20">
        <f>IF(K114="Có",COUNTIF($K$5:K114,"Có"),"")</f>
        <v>6</v>
      </c>
    </row>
    <row r="115" spans="1:19" ht="26.4" x14ac:dyDescent="0.3">
      <c r="A115" s="13" t="s">
        <v>620</v>
      </c>
      <c r="B115" s="14" t="s">
        <v>615</v>
      </c>
      <c r="C115" s="13" t="s">
        <v>244</v>
      </c>
      <c r="D115" s="14" t="s">
        <v>621</v>
      </c>
      <c r="E115" s="14" t="s">
        <v>622</v>
      </c>
      <c r="F115" s="14" t="s">
        <v>623</v>
      </c>
      <c r="G115" s="13" t="s">
        <v>118</v>
      </c>
      <c r="H115" s="13" t="s">
        <v>53</v>
      </c>
      <c r="I115" s="15">
        <v>0.75</v>
      </c>
      <c r="J115" s="14"/>
      <c r="K115" s="13" t="s">
        <v>54</v>
      </c>
      <c r="L115" s="13">
        <f>IF(K115="Có","Chờ",ROUNDUP(SUMIFS($I$5:I115,$K$5:K115,"Không")/'Hướng dẫn'!$C$7,0))</f>
        <v>13</v>
      </c>
      <c r="M115" s="16">
        <f>IF(ISNUMBER(L115),WORKDAY('Hướng dẫn'!$C$6,L115-1),"")</f>
        <v>46338</v>
      </c>
      <c r="N115" s="17"/>
      <c r="O115" s="18"/>
      <c r="P115" s="17" t="s">
        <v>55</v>
      </c>
      <c r="Q115" s="17"/>
      <c r="R115" s="20" t="s">
        <v>119</v>
      </c>
      <c r="S115" s="20" t="str">
        <f>IF(K115="Có",COUNTIF($K$5:K115,"Có"),"")</f>
        <v/>
      </c>
    </row>
    <row r="116" spans="1:19" ht="26.4" x14ac:dyDescent="0.3">
      <c r="A116" s="13" t="s">
        <v>624</v>
      </c>
      <c r="B116" s="14" t="s">
        <v>615</v>
      </c>
      <c r="C116" s="13" t="s">
        <v>244</v>
      </c>
      <c r="D116" s="14" t="s">
        <v>625</v>
      </c>
      <c r="E116" s="14" t="s">
        <v>626</v>
      </c>
      <c r="F116" s="14" t="s">
        <v>627</v>
      </c>
      <c r="G116" s="13" t="s">
        <v>628</v>
      </c>
      <c r="H116" s="13" t="s">
        <v>70</v>
      </c>
      <c r="I116" s="15">
        <v>0.5</v>
      </c>
      <c r="J116" s="14"/>
      <c r="K116" s="13" t="s">
        <v>54</v>
      </c>
      <c r="L116" s="13">
        <f>IF(K116="Có","Chờ",ROUNDUP(SUMIFS($I$5:I116,$K$5:K116,"Không")/'Hướng dẫn'!$C$7,0))</f>
        <v>13</v>
      </c>
      <c r="M116" s="16">
        <f>IF(ISNUMBER(L116),WORKDAY('Hướng dẫn'!$C$6,L116-1),"")</f>
        <v>46338</v>
      </c>
      <c r="N116" s="17"/>
      <c r="O116" s="18"/>
      <c r="P116" s="17" t="s">
        <v>55</v>
      </c>
      <c r="Q116" s="17"/>
      <c r="R116" s="20" t="s">
        <v>629</v>
      </c>
      <c r="S116" s="20" t="str">
        <f>IF(K116="Có",COUNTIF($K$5:K116,"Có"),"")</f>
        <v/>
      </c>
    </row>
    <row r="117" spans="1:19" ht="26.4" x14ac:dyDescent="0.3">
      <c r="A117" s="13" t="s">
        <v>630</v>
      </c>
      <c r="B117" s="14" t="s">
        <v>615</v>
      </c>
      <c r="C117" s="13" t="s">
        <v>244</v>
      </c>
      <c r="D117" s="14" t="s">
        <v>631</v>
      </c>
      <c r="E117" s="14" t="s">
        <v>632</v>
      </c>
      <c r="F117" s="14" t="s">
        <v>633</v>
      </c>
      <c r="G117" s="13" t="s">
        <v>112</v>
      </c>
      <c r="H117" s="13" t="s">
        <v>53</v>
      </c>
      <c r="I117" s="15">
        <v>0.5</v>
      </c>
      <c r="J117" s="14"/>
      <c r="K117" s="13" t="s">
        <v>54</v>
      </c>
      <c r="L117" s="13">
        <f>IF(K117="Có","Chờ",ROUNDUP(SUMIFS($I$5:I117,$K$5:K117,"Không")/'Hướng dẫn'!$C$7,0))</f>
        <v>14</v>
      </c>
      <c r="M117" s="16">
        <f>IF(ISNUMBER(L117),WORKDAY('Hướng dẫn'!$C$6,L117-1),"")</f>
        <v>46339</v>
      </c>
      <c r="N117" s="17"/>
      <c r="O117" s="18"/>
      <c r="P117" s="17" t="s">
        <v>55</v>
      </c>
      <c r="Q117" s="17"/>
      <c r="R117" s="20" t="s">
        <v>113</v>
      </c>
      <c r="S117" s="20" t="str">
        <f>IF(K117="Có",COUNTIF($K$5:K117,"Có"),"")</f>
        <v/>
      </c>
    </row>
    <row r="118" spans="1:19" ht="26.4" x14ac:dyDescent="0.3">
      <c r="A118" s="13" t="s">
        <v>634</v>
      </c>
      <c r="B118" s="14" t="s">
        <v>615</v>
      </c>
      <c r="C118" s="13" t="s">
        <v>244</v>
      </c>
      <c r="D118" s="14" t="s">
        <v>635</v>
      </c>
      <c r="E118" s="14" t="s">
        <v>636</v>
      </c>
      <c r="F118" s="14" t="s">
        <v>637</v>
      </c>
      <c r="G118" s="13" t="s">
        <v>638</v>
      </c>
      <c r="H118" s="13" t="s">
        <v>70</v>
      </c>
      <c r="I118" s="15">
        <v>0.5</v>
      </c>
      <c r="J118" s="14"/>
      <c r="K118" s="13" t="s">
        <v>54</v>
      </c>
      <c r="L118" s="13">
        <f>IF(K118="Có","Chờ",ROUNDUP(SUMIFS($I$5:I118,$K$5:K118,"Không")/'Hướng dẫn'!$C$7,0))</f>
        <v>14</v>
      </c>
      <c r="M118" s="16">
        <f>IF(ISNUMBER(L118),WORKDAY('Hướng dẫn'!$C$6,L118-1),"")</f>
        <v>46339</v>
      </c>
      <c r="N118" s="17"/>
      <c r="O118" s="18"/>
      <c r="P118" s="17" t="s">
        <v>55</v>
      </c>
      <c r="Q118" s="17"/>
      <c r="R118" s="20" t="s">
        <v>639</v>
      </c>
      <c r="S118" s="20" t="str">
        <f>IF(K118="Có",COUNTIF($K$5:K118,"Có"),"")</f>
        <v/>
      </c>
    </row>
    <row r="119" spans="1:19" ht="26.4" x14ac:dyDescent="0.3">
      <c r="A119" s="13" t="s">
        <v>640</v>
      </c>
      <c r="B119" s="14" t="s">
        <v>615</v>
      </c>
      <c r="C119" s="13" t="s">
        <v>244</v>
      </c>
      <c r="D119" s="14" t="s">
        <v>641</v>
      </c>
      <c r="E119" s="14" t="s">
        <v>642</v>
      </c>
      <c r="F119" s="14" t="s">
        <v>643</v>
      </c>
      <c r="G119" s="13" t="s">
        <v>644</v>
      </c>
      <c r="H119" s="13" t="s">
        <v>70</v>
      </c>
      <c r="I119" s="15">
        <v>0.5</v>
      </c>
      <c r="J119" s="14"/>
      <c r="K119" s="13" t="s">
        <v>54</v>
      </c>
      <c r="L119" s="13">
        <f>IF(K119="Có","Chờ",ROUNDUP(SUMIFS($I$5:I119,$K$5:K119,"Không")/'Hướng dẫn'!$C$7,0))</f>
        <v>14</v>
      </c>
      <c r="M119" s="16">
        <f>IF(ISNUMBER(L119),WORKDAY('Hướng dẫn'!$C$6,L119-1),"")</f>
        <v>46339</v>
      </c>
      <c r="N119" s="17"/>
      <c r="O119" s="18"/>
      <c r="P119" s="17" t="s">
        <v>55</v>
      </c>
      <c r="Q119" s="17"/>
      <c r="R119" s="20" t="s">
        <v>645</v>
      </c>
      <c r="S119" s="20" t="str">
        <f>IF(K119="Có",COUNTIF($K$5:K119,"Có"),"")</f>
        <v/>
      </c>
    </row>
    <row r="120" spans="1:19" ht="26.4" x14ac:dyDescent="0.3">
      <c r="A120" s="13" t="s">
        <v>646</v>
      </c>
      <c r="B120" s="14" t="s">
        <v>615</v>
      </c>
      <c r="C120" s="13" t="s">
        <v>244</v>
      </c>
      <c r="D120" s="14" t="s">
        <v>647</v>
      </c>
      <c r="E120" s="14" t="s">
        <v>648</v>
      </c>
      <c r="F120" s="14" t="s">
        <v>649</v>
      </c>
      <c r="G120" s="13" t="s">
        <v>650</v>
      </c>
      <c r="H120" s="13" t="s">
        <v>70</v>
      </c>
      <c r="I120" s="15">
        <v>0.25</v>
      </c>
      <c r="J120" s="14"/>
      <c r="K120" s="13" t="s">
        <v>54</v>
      </c>
      <c r="L120" s="13">
        <f>IF(K120="Có","Chờ",ROUNDUP(SUMIFS($I$5:I120,$K$5:K120,"Không")/'Hướng dẫn'!$C$7,0))</f>
        <v>14</v>
      </c>
      <c r="M120" s="16">
        <f>IF(ISNUMBER(L120),WORKDAY('Hướng dẫn'!$C$6,L120-1),"")</f>
        <v>46339</v>
      </c>
      <c r="N120" s="17"/>
      <c r="O120" s="18"/>
      <c r="P120" s="17" t="s">
        <v>55</v>
      </c>
      <c r="Q120" s="17"/>
      <c r="R120" s="20" t="s">
        <v>651</v>
      </c>
      <c r="S120" s="20" t="str">
        <f>IF(K120="Có",COUNTIF($K$5:K120,"Có"),"")</f>
        <v/>
      </c>
    </row>
    <row r="121" spans="1:19" ht="26.4" x14ac:dyDescent="0.3">
      <c r="A121" s="13" t="s">
        <v>652</v>
      </c>
      <c r="B121" s="14" t="s">
        <v>615</v>
      </c>
      <c r="C121" s="13" t="s">
        <v>244</v>
      </c>
      <c r="D121" s="14" t="s">
        <v>653</v>
      </c>
      <c r="E121" s="14" t="s">
        <v>654</v>
      </c>
      <c r="F121" s="14" t="s">
        <v>655</v>
      </c>
      <c r="G121" s="13" t="s">
        <v>656</v>
      </c>
      <c r="H121" s="13" t="s">
        <v>70</v>
      </c>
      <c r="I121" s="15">
        <v>0.25</v>
      </c>
      <c r="J121" s="14"/>
      <c r="K121" s="13" t="s">
        <v>54</v>
      </c>
      <c r="L121" s="13">
        <f>IF(K121="Có","Chờ",ROUNDUP(SUMIFS($I$5:I121,$K$5:K121,"Không")/'Hướng dẫn'!$C$7,0))</f>
        <v>14</v>
      </c>
      <c r="M121" s="16">
        <f>IF(ISNUMBER(L121),WORKDAY('Hướng dẫn'!$C$6,L121-1),"")</f>
        <v>46339</v>
      </c>
      <c r="N121" s="17"/>
      <c r="O121" s="18"/>
      <c r="P121" s="17" t="s">
        <v>55</v>
      </c>
      <c r="Q121" s="17"/>
      <c r="R121" s="20" t="s">
        <v>657</v>
      </c>
      <c r="S121" s="20" t="str">
        <f>IF(K121="Có",COUNTIF($K$5:K121,"Có"),"")</f>
        <v/>
      </c>
    </row>
    <row r="122" spans="1:19" ht="39.6" x14ac:dyDescent="0.3">
      <c r="A122" s="13" t="s">
        <v>658</v>
      </c>
      <c r="B122" s="14" t="s">
        <v>659</v>
      </c>
      <c r="C122" s="13" t="s">
        <v>660</v>
      </c>
      <c r="D122" s="14" t="s">
        <v>661</v>
      </c>
      <c r="E122" s="14" t="s">
        <v>662</v>
      </c>
      <c r="F122" s="14" t="s">
        <v>663</v>
      </c>
      <c r="G122" s="13"/>
      <c r="H122" s="13" t="s">
        <v>53</v>
      </c>
      <c r="I122" s="15">
        <v>2</v>
      </c>
      <c r="J122" s="14" t="s">
        <v>664</v>
      </c>
      <c r="K122" s="13" t="s">
        <v>361</v>
      </c>
      <c r="L122" s="13" t="str">
        <f>IF(K122="Có","Chờ",ROUNDUP(SUMIFS($I$5:I122,$K$5:K122,"Không")/'Hướng dẫn'!$C$7,0))</f>
        <v>Chờ</v>
      </c>
      <c r="M122" s="16" t="str">
        <f>IF(ISNUMBER(L122),WORKDAY('Hướng dẫn'!$C$6,L122-1),"")</f>
        <v/>
      </c>
      <c r="N122" s="17"/>
      <c r="O122" s="18"/>
      <c r="P122" s="17" t="s">
        <v>362</v>
      </c>
      <c r="Q122" s="17"/>
      <c r="R122" s="20"/>
      <c r="S122" s="20">
        <f>IF(K122="Có",COUNTIF($K$5:K122,"Có"),"")</f>
        <v>7</v>
      </c>
    </row>
    <row r="123" spans="1:19" ht="26.4" x14ac:dyDescent="0.3">
      <c r="A123" s="13" t="s">
        <v>665</v>
      </c>
      <c r="B123" s="14" t="s">
        <v>659</v>
      </c>
      <c r="C123" s="13" t="s">
        <v>660</v>
      </c>
      <c r="D123" s="14" t="s">
        <v>666</v>
      </c>
      <c r="E123" s="14" t="s">
        <v>667</v>
      </c>
      <c r="F123" s="14" t="s">
        <v>668</v>
      </c>
      <c r="G123" s="13" t="s">
        <v>286</v>
      </c>
      <c r="H123" s="13" t="s">
        <v>53</v>
      </c>
      <c r="I123" s="15">
        <v>1</v>
      </c>
      <c r="J123" s="14" t="s">
        <v>669</v>
      </c>
      <c r="K123" s="13" t="s">
        <v>361</v>
      </c>
      <c r="L123" s="13" t="str">
        <f>IF(K123="Có","Chờ",ROUNDUP(SUMIFS($I$5:I123,$K$5:K123,"Không")/'Hướng dẫn'!$C$7,0))</f>
        <v>Chờ</v>
      </c>
      <c r="M123" s="16" t="str">
        <f>IF(ISNUMBER(L123),WORKDAY('Hướng dẫn'!$C$6,L123-1),"")</f>
        <v/>
      </c>
      <c r="N123" s="17"/>
      <c r="O123" s="18"/>
      <c r="P123" s="17" t="s">
        <v>362</v>
      </c>
      <c r="Q123" s="17"/>
      <c r="R123" s="20" t="s">
        <v>287</v>
      </c>
      <c r="S123" s="20">
        <f>IF(K123="Có",COUNTIF($K$5:K123,"Có"),"")</f>
        <v>8</v>
      </c>
    </row>
    <row r="124" spans="1:19" ht="26.4" x14ac:dyDescent="0.3">
      <c r="A124" s="13" t="s">
        <v>670</v>
      </c>
      <c r="B124" s="14" t="s">
        <v>659</v>
      </c>
      <c r="C124" s="13" t="s">
        <v>660</v>
      </c>
      <c r="D124" s="14" t="s">
        <v>671</v>
      </c>
      <c r="E124" s="14" t="s">
        <v>672</v>
      </c>
      <c r="F124" s="14" t="s">
        <v>673</v>
      </c>
      <c r="G124" s="13"/>
      <c r="H124" s="13" t="s">
        <v>53</v>
      </c>
      <c r="I124" s="15">
        <v>1.5</v>
      </c>
      <c r="J124" s="14" t="s">
        <v>669</v>
      </c>
      <c r="K124" s="13" t="s">
        <v>361</v>
      </c>
      <c r="L124" s="13" t="str">
        <f>IF(K124="Có","Chờ",ROUNDUP(SUMIFS($I$5:I124,$K$5:K124,"Không")/'Hướng dẫn'!$C$7,0))</f>
        <v>Chờ</v>
      </c>
      <c r="M124" s="16" t="str">
        <f>IF(ISNUMBER(L124),WORKDAY('Hướng dẫn'!$C$6,L124-1),"")</f>
        <v/>
      </c>
      <c r="N124" s="17"/>
      <c r="O124" s="18"/>
      <c r="P124" s="17" t="s">
        <v>362</v>
      </c>
      <c r="Q124" s="17"/>
      <c r="R124" s="20"/>
      <c r="S124" s="20">
        <f>IF(K124="Có",COUNTIF($K$5:K124,"Có"),"")</f>
        <v>9</v>
      </c>
    </row>
    <row r="125" spans="1:19" ht="26.4" x14ac:dyDescent="0.3">
      <c r="A125" s="13" t="s">
        <v>674</v>
      </c>
      <c r="B125" s="14" t="s">
        <v>659</v>
      </c>
      <c r="C125" s="13" t="s">
        <v>660</v>
      </c>
      <c r="D125" s="14" t="s">
        <v>675</v>
      </c>
      <c r="E125" s="14" t="s">
        <v>676</v>
      </c>
      <c r="F125" s="14" t="s">
        <v>677</v>
      </c>
      <c r="G125" s="13"/>
      <c r="H125" s="13" t="s">
        <v>53</v>
      </c>
      <c r="I125" s="15">
        <v>3</v>
      </c>
      <c r="J125" s="14" t="s">
        <v>678</v>
      </c>
      <c r="K125" s="13" t="s">
        <v>361</v>
      </c>
      <c r="L125" s="13" t="str">
        <f>IF(K125="Có","Chờ",ROUNDUP(SUMIFS($I$5:I125,$K$5:K125,"Không")/'Hướng dẫn'!$C$7,0))</f>
        <v>Chờ</v>
      </c>
      <c r="M125" s="16" t="str">
        <f>IF(ISNUMBER(L125),WORKDAY('Hướng dẫn'!$C$6,L125-1),"")</f>
        <v/>
      </c>
      <c r="N125" s="17"/>
      <c r="O125" s="18"/>
      <c r="P125" s="17" t="s">
        <v>362</v>
      </c>
      <c r="Q125" s="17"/>
      <c r="R125" s="20"/>
      <c r="S125" s="20">
        <f>IF(K125="Có",COUNTIF($K$5:K125,"Có"),"")</f>
        <v>10</v>
      </c>
    </row>
    <row r="126" spans="1:19" ht="26.4" x14ac:dyDescent="0.3">
      <c r="A126" s="13" t="s">
        <v>679</v>
      </c>
      <c r="B126" s="14" t="s">
        <v>659</v>
      </c>
      <c r="C126" s="13" t="s">
        <v>660</v>
      </c>
      <c r="D126" s="14" t="s">
        <v>680</v>
      </c>
      <c r="E126" s="14" t="s">
        <v>681</v>
      </c>
      <c r="F126" s="14" t="s">
        <v>682</v>
      </c>
      <c r="G126" s="13"/>
      <c r="H126" s="13" t="s">
        <v>53</v>
      </c>
      <c r="I126" s="15">
        <v>4</v>
      </c>
      <c r="J126" s="14" t="s">
        <v>669</v>
      </c>
      <c r="K126" s="13" t="s">
        <v>361</v>
      </c>
      <c r="L126" s="13" t="str">
        <f>IF(K126="Có","Chờ",ROUNDUP(SUMIFS($I$5:I126,$K$5:K126,"Không")/'Hướng dẫn'!$C$7,0))</f>
        <v>Chờ</v>
      </c>
      <c r="M126" s="16" t="str">
        <f>IF(ISNUMBER(L126),WORKDAY('Hướng dẫn'!$C$6,L126-1),"")</f>
        <v/>
      </c>
      <c r="N126" s="17"/>
      <c r="O126" s="18"/>
      <c r="P126" s="17" t="s">
        <v>362</v>
      </c>
      <c r="Q126" s="17"/>
      <c r="R126" s="20"/>
      <c r="S126" s="20">
        <f>IF(K126="Có",COUNTIF($K$5:K126,"Có"),"")</f>
        <v>11</v>
      </c>
    </row>
    <row r="127" spans="1:19" ht="26.4" x14ac:dyDescent="0.3">
      <c r="A127" s="13" t="s">
        <v>683</v>
      </c>
      <c r="B127" s="14" t="s">
        <v>659</v>
      </c>
      <c r="C127" s="13" t="s">
        <v>660</v>
      </c>
      <c r="D127" s="14" t="s">
        <v>684</v>
      </c>
      <c r="E127" s="14" t="s">
        <v>685</v>
      </c>
      <c r="F127" s="14" t="s">
        <v>686</v>
      </c>
      <c r="G127" s="13"/>
      <c r="H127" s="13" t="s">
        <v>53</v>
      </c>
      <c r="I127" s="15">
        <v>8</v>
      </c>
      <c r="J127" s="14" t="s">
        <v>687</v>
      </c>
      <c r="K127" s="13" t="s">
        <v>361</v>
      </c>
      <c r="L127" s="13" t="str">
        <f>IF(K127="Có","Chờ",ROUNDUP(SUMIFS($I$5:I127,$K$5:K127,"Không")/'Hướng dẫn'!$C$7,0))</f>
        <v>Chờ</v>
      </c>
      <c r="M127" s="16" t="str">
        <f>IF(ISNUMBER(L127),WORKDAY('Hướng dẫn'!$C$6,L127-1),"")</f>
        <v/>
      </c>
      <c r="N127" s="17"/>
      <c r="O127" s="18"/>
      <c r="P127" s="17" t="s">
        <v>362</v>
      </c>
      <c r="Q127" s="17"/>
      <c r="R127" s="20"/>
      <c r="S127" s="20">
        <f>IF(K127="Có",COUNTIF($K$5:K127,"Có"),"")</f>
        <v>12</v>
      </c>
    </row>
    <row r="129" spans="8:9" x14ac:dyDescent="0.3">
      <c r="H129" s="3" t="s">
        <v>688</v>
      </c>
      <c r="I129" s="21">
        <f>SUM(I5:I127)</f>
        <v>103.25</v>
      </c>
    </row>
  </sheetData>
  <autoFilter ref="A4:Q127" xr:uid="{00000000-0009-0000-0000-000001000000}"/>
  <conditionalFormatting sqref="P5:P127">
    <cfRule type="cellIs" dxfId="9" priority="1" operator="equal">
      <formula>"Đạt"</formula>
    </cfRule>
    <cfRule type="cellIs" dxfId="8" priority="2" operator="equal">
      <formula>"Lỗi"</formula>
    </cfRule>
    <cfRule type="cellIs" dxfId="7" priority="3" operator="equal">
      <formula>"Đang test"</formula>
    </cfRule>
    <cfRule type="cellIs" dxfId="6" priority="4" operator="equal">
      <formula>"Đã sửa – chờ test lại"</formula>
    </cfRule>
    <cfRule type="cellIs" dxfId="5" priority="5" operator="equal">
      <formula>"Chờ người / dữ liệu"</formula>
    </cfRule>
  </conditionalFormatting>
  <dataValidations count="3">
    <dataValidation type="list" allowBlank="1" error="Chọn trạng thái trong danh sách" prompt="Chọn trạng thái" sqref="P5:P127" xr:uid="{00000000-0002-0000-0100-000000000000}">
      <formula1>"Chưa test,Đang test,Đạt,Lỗi,Đã sửa – chờ test lại,Chờ người / dữ liệu"</formula1>
    </dataValidation>
    <dataValidation type="list" sqref="K5:K127" xr:uid="{00000000-0002-0000-0100-000001000000}">
      <formula1>"Có,Không"</formula1>
    </dataValidation>
    <dataValidation type="list" sqref="H5:H127" xr:uid="{00000000-0002-0000-0100-000002000000}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J4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34" customWidth="1"/>
    <col min="3" max="3" width="52" customWidth="1"/>
    <col min="4" max="4" width="14" customWidth="1"/>
    <col min="5" max="5" width="10" customWidth="1"/>
    <col min="6" max="7" width="7" customWidth="1"/>
    <col min="8" max="8" width="9" customWidth="1"/>
    <col min="9" max="9" width="14" customWidth="1"/>
    <col min="10" max="10" width="30" customWidth="1"/>
  </cols>
  <sheetData>
    <row r="1" spans="1:10" ht="16.8" x14ac:dyDescent="0.3">
      <c r="A1" s="11" t="s">
        <v>689</v>
      </c>
    </row>
    <row r="2" spans="1:10" x14ac:dyDescent="0.3">
      <c r="A2" s="6" t="s">
        <v>690</v>
      </c>
    </row>
    <row r="4" spans="1:10" ht="26.4" x14ac:dyDescent="0.3">
      <c r="A4" s="12" t="s">
        <v>691</v>
      </c>
      <c r="B4" s="12" t="s">
        <v>692</v>
      </c>
      <c r="C4" s="12" t="s">
        <v>693</v>
      </c>
      <c r="D4" s="12" t="s">
        <v>694</v>
      </c>
      <c r="E4" s="12" t="s">
        <v>695</v>
      </c>
      <c r="F4" s="12" t="s">
        <v>696</v>
      </c>
      <c r="G4" s="12" t="s">
        <v>697</v>
      </c>
      <c r="H4" s="12" t="s">
        <v>698</v>
      </c>
      <c r="I4" s="12" t="s">
        <v>44</v>
      </c>
      <c r="J4" s="12" t="s">
        <v>699</v>
      </c>
    </row>
    <row r="5" spans="1:10" x14ac:dyDescent="0.3">
      <c r="A5" s="14" t="s">
        <v>144</v>
      </c>
      <c r="B5" s="14" t="s">
        <v>700</v>
      </c>
      <c r="C5" s="14" t="s">
        <v>501</v>
      </c>
      <c r="D5" s="14" t="s">
        <v>701</v>
      </c>
      <c r="E5" s="13">
        <f>COUNTIFS('Danh sách test'!$R$5:$R$127,"*|TH1|*")</f>
        <v>7</v>
      </c>
      <c r="F5" s="13">
        <f>COUNTIFS('Danh sách test'!$R$5:$R$127,"*|TH1|*",'Danh sách test'!$P$5:$P$127,"Đạt")</f>
        <v>0</v>
      </c>
      <c r="G5" s="13">
        <f>COUNTIFS('Danh sách test'!$R$5:$R$127,"*|TH1|*",'Danh sách test'!$P$5:$P$127,"Lỗi")+COUNTIFS('Danh sách test'!$R$5:$R$127,"*|TH1|*",'Danh sách test'!$P$5:$P$127,"Đã sửa – chờ test lại")</f>
        <v>0</v>
      </c>
      <c r="H5" s="13">
        <f>COUNTIFS('Danh sách test'!$R$5:$R$127,"*|TH1|*",'Danh sách test'!$P$5:$P$127,"Chờ người / dữ liệu")</f>
        <v>0</v>
      </c>
      <c r="I5" s="13" t="str">
        <f t="shared" ref="I5:I37" si="0">IF(E5=0,"",IF(F5=E5,"Đạt",IF(G5&gt;0,"Có lỗi",IF(H5&gt;0,"Đang chờ",IF(F5&gt;0,"Đang test","Chưa test")))))</f>
        <v>Chưa test</v>
      </c>
      <c r="J5" s="22"/>
    </row>
    <row r="6" spans="1:10" x14ac:dyDescent="0.3">
      <c r="A6" s="14" t="s">
        <v>171</v>
      </c>
      <c r="B6" s="14" t="s">
        <v>702</v>
      </c>
      <c r="C6" s="14" t="s">
        <v>505</v>
      </c>
      <c r="D6" s="14" t="s">
        <v>701</v>
      </c>
      <c r="E6" s="13">
        <f>COUNTIFS('Danh sách test'!$R$5:$R$127,"*|TH2|*")</f>
        <v>5</v>
      </c>
      <c r="F6" s="13">
        <f>COUNTIFS('Danh sách test'!$R$5:$R$127,"*|TH2|*",'Danh sách test'!$P$5:$P$127,"Đạt")</f>
        <v>0</v>
      </c>
      <c r="G6" s="13">
        <f>COUNTIFS('Danh sách test'!$R$5:$R$127,"*|TH2|*",'Danh sách test'!$P$5:$P$127,"Lỗi")+COUNTIFS('Danh sách test'!$R$5:$R$127,"*|TH2|*",'Danh sách test'!$P$5:$P$127,"Đã sửa – chờ test lại")</f>
        <v>0</v>
      </c>
      <c r="H6" s="13">
        <f>COUNTIFS('Danh sách test'!$R$5:$R$127,"*|TH2|*",'Danh sách test'!$P$5:$P$127,"Chờ người / dữ liệu")</f>
        <v>1</v>
      </c>
      <c r="I6" s="13" t="str">
        <f t="shared" si="0"/>
        <v>Đang chờ</v>
      </c>
      <c r="J6" s="22"/>
    </row>
    <row r="7" spans="1:10" ht="26.4" x14ac:dyDescent="0.3">
      <c r="A7" s="14" t="s">
        <v>510</v>
      </c>
      <c r="B7" s="14" t="s">
        <v>703</v>
      </c>
      <c r="C7" s="14" t="s">
        <v>509</v>
      </c>
      <c r="D7" s="14" t="s">
        <v>701</v>
      </c>
      <c r="E7" s="13">
        <f>COUNTIFS('Danh sách test'!$R$5:$R$127,"*|TH3|*")</f>
        <v>4</v>
      </c>
      <c r="F7" s="13">
        <f>COUNTIFS('Danh sách test'!$R$5:$R$127,"*|TH3|*",'Danh sách test'!$P$5:$P$127,"Đạt")</f>
        <v>0</v>
      </c>
      <c r="G7" s="13">
        <f>COUNTIFS('Danh sách test'!$R$5:$R$127,"*|TH3|*",'Danh sách test'!$P$5:$P$127,"Lỗi")+COUNTIFS('Danh sách test'!$R$5:$R$127,"*|TH3|*",'Danh sách test'!$P$5:$P$127,"Đã sửa – chờ test lại")</f>
        <v>0</v>
      </c>
      <c r="H7" s="13">
        <f>COUNTIFS('Danh sách test'!$R$5:$R$127,"*|TH3|*",'Danh sách test'!$P$5:$P$127,"Chờ người / dữ liệu")</f>
        <v>0</v>
      </c>
      <c r="I7" s="13" t="str">
        <f t="shared" si="0"/>
        <v>Chưa test</v>
      </c>
      <c r="J7" s="22"/>
    </row>
    <row r="8" spans="1:10" ht="26.4" x14ac:dyDescent="0.3">
      <c r="A8" s="14" t="s">
        <v>183</v>
      </c>
      <c r="B8" s="14" t="s">
        <v>704</v>
      </c>
      <c r="C8" s="14" t="s">
        <v>515</v>
      </c>
      <c r="D8" s="14" t="s">
        <v>701</v>
      </c>
      <c r="E8" s="13">
        <f>COUNTIFS('Danh sách test'!$R$5:$R$127,"*|TH4|*")</f>
        <v>4</v>
      </c>
      <c r="F8" s="13">
        <f>COUNTIFS('Danh sách test'!$R$5:$R$127,"*|TH4|*",'Danh sách test'!$P$5:$P$127,"Đạt")</f>
        <v>0</v>
      </c>
      <c r="G8" s="13">
        <f>COUNTIFS('Danh sách test'!$R$5:$R$127,"*|TH4|*",'Danh sách test'!$P$5:$P$127,"Lỗi")+COUNTIFS('Danh sách test'!$R$5:$R$127,"*|TH4|*",'Danh sách test'!$P$5:$P$127,"Đã sửa – chờ test lại")</f>
        <v>0</v>
      </c>
      <c r="H8" s="13">
        <f>COUNTIFS('Danh sách test'!$R$5:$R$127,"*|TH4|*",'Danh sách test'!$P$5:$P$127,"Chờ người / dữ liệu")</f>
        <v>0</v>
      </c>
      <c r="I8" s="13" t="str">
        <f t="shared" si="0"/>
        <v>Chưa test</v>
      </c>
      <c r="J8" s="22"/>
    </row>
    <row r="9" spans="1:10" x14ac:dyDescent="0.3">
      <c r="A9" s="14" t="s">
        <v>248</v>
      </c>
      <c r="B9" s="14" t="s">
        <v>705</v>
      </c>
      <c r="C9" s="14" t="s">
        <v>519</v>
      </c>
      <c r="D9" s="14" t="s">
        <v>701</v>
      </c>
      <c r="E9" s="13">
        <f>COUNTIFS('Danh sách test'!$R$5:$R$127,"*|TH5|*")</f>
        <v>4</v>
      </c>
      <c r="F9" s="13">
        <f>COUNTIFS('Danh sách test'!$R$5:$R$127,"*|TH5|*",'Danh sách test'!$P$5:$P$127,"Đạt")</f>
        <v>0</v>
      </c>
      <c r="G9" s="13">
        <f>COUNTIFS('Danh sách test'!$R$5:$R$127,"*|TH5|*",'Danh sách test'!$P$5:$P$127,"Lỗi")+COUNTIFS('Danh sách test'!$R$5:$R$127,"*|TH5|*",'Danh sách test'!$P$5:$P$127,"Đã sửa – chờ test lại")</f>
        <v>0</v>
      </c>
      <c r="H9" s="13">
        <f>COUNTIFS('Danh sách test'!$R$5:$R$127,"*|TH5|*",'Danh sách test'!$P$5:$P$127,"Chờ người / dữ liệu")</f>
        <v>0</v>
      </c>
      <c r="I9" s="13" t="str">
        <f t="shared" si="0"/>
        <v>Chưa test</v>
      </c>
      <c r="J9" s="22"/>
    </row>
    <row r="10" spans="1:10" x14ac:dyDescent="0.3">
      <c r="A10" s="14" t="s">
        <v>524</v>
      </c>
      <c r="B10" s="14" t="s">
        <v>706</v>
      </c>
      <c r="C10" s="14" t="s">
        <v>523</v>
      </c>
      <c r="D10" s="14" t="s">
        <v>707</v>
      </c>
      <c r="E10" s="13">
        <f>COUNTIFS('Danh sách test'!$R$5:$R$127,"*|TH6|*")</f>
        <v>1</v>
      </c>
      <c r="F10" s="13">
        <f>COUNTIFS('Danh sách test'!$R$5:$R$127,"*|TH6|*",'Danh sách test'!$P$5:$P$127,"Đạt")</f>
        <v>0</v>
      </c>
      <c r="G10" s="13">
        <f>COUNTIFS('Danh sách test'!$R$5:$R$127,"*|TH6|*",'Danh sách test'!$P$5:$P$127,"Lỗi")+COUNTIFS('Danh sách test'!$R$5:$R$127,"*|TH6|*",'Danh sách test'!$P$5:$P$127,"Đã sửa – chờ test lại")</f>
        <v>0</v>
      </c>
      <c r="H10" s="13">
        <f>COUNTIFS('Danh sách test'!$R$5:$R$127,"*|TH6|*",'Danh sách test'!$P$5:$P$127,"Chờ người / dữ liệu")</f>
        <v>1</v>
      </c>
      <c r="I10" s="13" t="str">
        <f t="shared" si="0"/>
        <v>Đang chờ</v>
      </c>
      <c r="J10" s="22"/>
    </row>
    <row r="11" spans="1:10" x14ac:dyDescent="0.3">
      <c r="A11" s="14" t="s">
        <v>531</v>
      </c>
      <c r="B11" s="14" t="s">
        <v>708</v>
      </c>
      <c r="C11" s="14" t="s">
        <v>530</v>
      </c>
      <c r="D11" s="14" t="s">
        <v>707</v>
      </c>
      <c r="E11" s="13">
        <f>COUNTIFS('Danh sách test'!$R$5:$R$127,"*|TH7|*")</f>
        <v>2</v>
      </c>
      <c r="F11" s="13">
        <f>COUNTIFS('Danh sách test'!$R$5:$R$127,"*|TH7|*",'Danh sách test'!$P$5:$P$127,"Đạt")</f>
        <v>0</v>
      </c>
      <c r="G11" s="13">
        <f>COUNTIFS('Danh sách test'!$R$5:$R$127,"*|TH7|*",'Danh sách test'!$P$5:$P$127,"Lỗi")+COUNTIFS('Danh sách test'!$R$5:$R$127,"*|TH7|*",'Danh sách test'!$P$5:$P$127,"Đã sửa – chờ test lại")</f>
        <v>0</v>
      </c>
      <c r="H11" s="13">
        <f>COUNTIFS('Danh sách test'!$R$5:$R$127,"*|TH7|*",'Danh sách test'!$P$5:$P$127,"Chờ người / dữ liệu")</f>
        <v>1</v>
      </c>
      <c r="I11" s="13" t="str">
        <f t="shared" si="0"/>
        <v>Đang chờ</v>
      </c>
      <c r="J11" s="22"/>
    </row>
    <row r="12" spans="1:10" x14ac:dyDescent="0.3">
      <c r="A12" s="14" t="s">
        <v>195</v>
      </c>
      <c r="B12" s="14" t="s">
        <v>408</v>
      </c>
      <c r="C12" s="14" t="s">
        <v>536</v>
      </c>
      <c r="D12" s="14" t="s">
        <v>701</v>
      </c>
      <c r="E12" s="13">
        <f>COUNTIFS('Danh sách test'!$R$5:$R$127,"*|TH8|*")</f>
        <v>4</v>
      </c>
      <c r="F12" s="13">
        <f>COUNTIFS('Danh sách test'!$R$5:$R$127,"*|TH8|*",'Danh sách test'!$P$5:$P$127,"Đạt")</f>
        <v>0</v>
      </c>
      <c r="G12" s="13">
        <f>COUNTIFS('Danh sách test'!$R$5:$R$127,"*|TH8|*",'Danh sách test'!$P$5:$P$127,"Lỗi")+COUNTIFS('Danh sách test'!$R$5:$R$127,"*|TH8|*",'Danh sách test'!$P$5:$P$127,"Đã sửa – chờ test lại")</f>
        <v>0</v>
      </c>
      <c r="H12" s="13">
        <f>COUNTIFS('Danh sách test'!$R$5:$R$127,"*|TH8|*",'Danh sách test'!$P$5:$P$127,"Chờ người / dữ liệu")</f>
        <v>0</v>
      </c>
      <c r="I12" s="13" t="str">
        <f t="shared" si="0"/>
        <v>Chưa test</v>
      </c>
      <c r="J12" s="22"/>
    </row>
    <row r="13" spans="1:10" x14ac:dyDescent="0.3">
      <c r="A13" s="14" t="s">
        <v>541</v>
      </c>
      <c r="B13" s="14" t="s">
        <v>709</v>
      </c>
      <c r="C13" s="14" t="s">
        <v>540</v>
      </c>
      <c r="D13" s="14" t="s">
        <v>707</v>
      </c>
      <c r="E13" s="13">
        <f>COUNTIFS('Danh sách test'!$R$5:$R$127,"*|TH9|*")</f>
        <v>1</v>
      </c>
      <c r="F13" s="13">
        <f>COUNTIFS('Danh sách test'!$R$5:$R$127,"*|TH9|*",'Danh sách test'!$P$5:$P$127,"Đạt")</f>
        <v>0</v>
      </c>
      <c r="G13" s="13">
        <f>COUNTIFS('Danh sách test'!$R$5:$R$127,"*|TH9|*",'Danh sách test'!$P$5:$P$127,"Lỗi")+COUNTIFS('Danh sách test'!$R$5:$R$127,"*|TH9|*",'Danh sách test'!$P$5:$P$127,"Đã sửa – chờ test lại")</f>
        <v>0</v>
      </c>
      <c r="H13" s="13">
        <f>COUNTIFS('Danh sách test'!$R$5:$R$127,"*|TH9|*",'Danh sách test'!$P$5:$P$127,"Chờ người / dữ liệu")</f>
        <v>1</v>
      </c>
      <c r="I13" s="13" t="str">
        <f t="shared" si="0"/>
        <v>Đang chờ</v>
      </c>
      <c r="J13" s="22"/>
    </row>
    <row r="14" spans="1:10" x14ac:dyDescent="0.3">
      <c r="A14" s="14" t="s">
        <v>546</v>
      </c>
      <c r="B14" s="14" t="s">
        <v>710</v>
      </c>
      <c r="C14" s="14" t="s">
        <v>540</v>
      </c>
      <c r="D14" s="14" t="s">
        <v>707</v>
      </c>
      <c r="E14" s="13">
        <f>COUNTIFS('Danh sách test'!$R$5:$R$127,"*|TH10|*")</f>
        <v>1</v>
      </c>
      <c r="F14" s="13">
        <f>COUNTIFS('Danh sách test'!$R$5:$R$127,"*|TH10|*",'Danh sách test'!$P$5:$P$127,"Đạt")</f>
        <v>0</v>
      </c>
      <c r="G14" s="13">
        <f>COUNTIFS('Danh sách test'!$R$5:$R$127,"*|TH10|*",'Danh sách test'!$P$5:$P$127,"Lỗi")+COUNTIFS('Danh sách test'!$R$5:$R$127,"*|TH10|*",'Danh sách test'!$P$5:$P$127,"Đã sửa – chờ test lại")</f>
        <v>0</v>
      </c>
      <c r="H14" s="13">
        <f>COUNTIFS('Danh sách test'!$R$5:$R$127,"*|TH10|*",'Danh sách test'!$P$5:$P$127,"Chờ người / dữ liệu")</f>
        <v>1</v>
      </c>
      <c r="I14" s="13" t="str">
        <f t="shared" si="0"/>
        <v>Đang chờ</v>
      </c>
      <c r="J14" s="22"/>
    </row>
    <row r="15" spans="1:10" x14ac:dyDescent="0.3">
      <c r="A15" s="14" t="s">
        <v>353</v>
      </c>
      <c r="B15" s="14" t="s">
        <v>711</v>
      </c>
      <c r="C15" s="14" t="s">
        <v>551</v>
      </c>
      <c r="D15" s="14" t="s">
        <v>701</v>
      </c>
      <c r="E15" s="13">
        <f>COUNTIFS('Danh sách test'!$R$5:$R$127,"*|TH11|*")</f>
        <v>2</v>
      </c>
      <c r="F15" s="13">
        <f>COUNTIFS('Danh sách test'!$R$5:$R$127,"*|TH11|*",'Danh sách test'!$P$5:$P$127,"Đạt")</f>
        <v>0</v>
      </c>
      <c r="G15" s="13">
        <f>COUNTIFS('Danh sách test'!$R$5:$R$127,"*|TH11|*",'Danh sách test'!$P$5:$P$127,"Lỗi")+COUNTIFS('Danh sách test'!$R$5:$R$127,"*|TH11|*",'Danh sách test'!$P$5:$P$127,"Đã sửa – chờ test lại")</f>
        <v>0</v>
      </c>
      <c r="H15" s="13">
        <f>COUNTIFS('Danh sách test'!$R$5:$R$127,"*|TH11|*",'Danh sách test'!$P$5:$P$127,"Chờ người / dữ liệu")</f>
        <v>0</v>
      </c>
      <c r="I15" s="13" t="str">
        <f t="shared" si="0"/>
        <v>Chưa test</v>
      </c>
      <c r="J15" s="22"/>
    </row>
    <row r="16" spans="1:10" x14ac:dyDescent="0.3">
      <c r="A16" s="14" t="s">
        <v>556</v>
      </c>
      <c r="B16" s="14" t="s">
        <v>712</v>
      </c>
      <c r="C16" s="14" t="s">
        <v>555</v>
      </c>
      <c r="D16" s="14" t="s">
        <v>701</v>
      </c>
      <c r="E16" s="13">
        <f>COUNTIFS('Danh sách test'!$R$5:$R$127,"*|TH12|*")</f>
        <v>3</v>
      </c>
      <c r="F16" s="13">
        <f>COUNTIFS('Danh sách test'!$R$5:$R$127,"*|TH12|*",'Danh sách test'!$P$5:$P$127,"Đạt")</f>
        <v>0</v>
      </c>
      <c r="G16" s="13">
        <f>COUNTIFS('Danh sách test'!$R$5:$R$127,"*|TH12|*",'Danh sách test'!$P$5:$P$127,"Lỗi")+COUNTIFS('Danh sách test'!$R$5:$R$127,"*|TH12|*",'Danh sách test'!$P$5:$P$127,"Đã sửa – chờ test lại")</f>
        <v>0</v>
      </c>
      <c r="H16" s="13">
        <f>COUNTIFS('Danh sách test'!$R$5:$R$127,"*|TH12|*",'Danh sách test'!$P$5:$P$127,"Chờ người / dữ liệu")</f>
        <v>0</v>
      </c>
      <c r="I16" s="13" t="str">
        <f t="shared" si="0"/>
        <v>Chưa test</v>
      </c>
      <c r="J16" s="22"/>
    </row>
    <row r="17" spans="1:10" x14ac:dyDescent="0.3">
      <c r="A17" s="14" t="s">
        <v>562</v>
      </c>
      <c r="B17" s="14" t="s">
        <v>713</v>
      </c>
      <c r="C17" s="14" t="s">
        <v>561</v>
      </c>
      <c r="D17" s="14" t="s">
        <v>701</v>
      </c>
      <c r="E17" s="13">
        <f>COUNTIFS('Danh sách test'!$R$5:$R$127,"*|TH13|*")</f>
        <v>3</v>
      </c>
      <c r="F17" s="13">
        <f>COUNTIFS('Danh sách test'!$R$5:$R$127,"*|TH13|*",'Danh sách test'!$P$5:$P$127,"Đạt")</f>
        <v>0</v>
      </c>
      <c r="G17" s="13">
        <f>COUNTIFS('Danh sách test'!$R$5:$R$127,"*|TH13|*",'Danh sách test'!$P$5:$P$127,"Lỗi")+COUNTIFS('Danh sách test'!$R$5:$R$127,"*|TH13|*",'Danh sách test'!$P$5:$P$127,"Đã sửa – chờ test lại")</f>
        <v>0</v>
      </c>
      <c r="H17" s="13">
        <f>COUNTIFS('Danh sách test'!$R$5:$R$127,"*|TH13|*",'Danh sách test'!$P$5:$P$127,"Chờ người / dữ liệu")</f>
        <v>0</v>
      </c>
      <c r="I17" s="13" t="str">
        <f t="shared" si="0"/>
        <v>Chưa test</v>
      </c>
      <c r="J17" s="22"/>
    </row>
    <row r="18" spans="1:10" x14ac:dyDescent="0.3">
      <c r="A18" s="14" t="s">
        <v>189</v>
      </c>
      <c r="B18" s="14" t="s">
        <v>714</v>
      </c>
      <c r="C18" s="14" t="s">
        <v>567</v>
      </c>
      <c r="D18" s="14" t="s">
        <v>701</v>
      </c>
      <c r="E18" s="13">
        <f>COUNTIFS('Danh sách test'!$R$5:$R$127,"*|TH14|*")</f>
        <v>3</v>
      </c>
      <c r="F18" s="13">
        <f>COUNTIFS('Danh sách test'!$R$5:$R$127,"*|TH14|*",'Danh sách test'!$P$5:$P$127,"Đạt")</f>
        <v>0</v>
      </c>
      <c r="G18" s="13">
        <f>COUNTIFS('Danh sách test'!$R$5:$R$127,"*|TH14|*",'Danh sách test'!$P$5:$P$127,"Lỗi")+COUNTIFS('Danh sách test'!$R$5:$R$127,"*|TH14|*",'Danh sách test'!$P$5:$P$127,"Đã sửa – chờ test lại")</f>
        <v>0</v>
      </c>
      <c r="H18" s="13">
        <f>COUNTIFS('Danh sách test'!$R$5:$R$127,"*|TH14|*",'Danh sách test'!$P$5:$P$127,"Chờ người / dữ liệu")</f>
        <v>0</v>
      </c>
      <c r="I18" s="13" t="str">
        <f t="shared" si="0"/>
        <v>Chưa test</v>
      </c>
      <c r="J18" s="22"/>
    </row>
    <row r="19" spans="1:10" x14ac:dyDescent="0.3">
      <c r="A19" s="14" t="s">
        <v>201</v>
      </c>
      <c r="B19" s="14" t="s">
        <v>715</v>
      </c>
      <c r="C19" s="14" t="s">
        <v>571</v>
      </c>
      <c r="D19" s="14" t="s">
        <v>701</v>
      </c>
      <c r="E19" s="13">
        <f>COUNTIFS('Danh sách test'!$R$5:$R$127,"*|TH15|*")</f>
        <v>3</v>
      </c>
      <c r="F19" s="13">
        <f>COUNTIFS('Danh sách test'!$R$5:$R$127,"*|TH15|*",'Danh sách test'!$P$5:$P$127,"Đạt")</f>
        <v>0</v>
      </c>
      <c r="G19" s="13">
        <f>COUNTIFS('Danh sách test'!$R$5:$R$127,"*|TH15|*",'Danh sách test'!$P$5:$P$127,"Lỗi")+COUNTIFS('Danh sách test'!$R$5:$R$127,"*|TH15|*",'Danh sách test'!$P$5:$P$127,"Đã sửa – chờ test lại")</f>
        <v>0</v>
      </c>
      <c r="H19" s="13">
        <f>COUNTIFS('Danh sách test'!$R$5:$R$127,"*|TH15|*",'Danh sách test'!$P$5:$P$127,"Chờ người / dữ liệu")</f>
        <v>0</v>
      </c>
      <c r="I19" s="13" t="str">
        <f t="shared" si="0"/>
        <v>Chưa test</v>
      </c>
      <c r="J19" s="22"/>
    </row>
    <row r="20" spans="1:10" x14ac:dyDescent="0.3">
      <c r="A20" s="14" t="s">
        <v>207</v>
      </c>
      <c r="B20" s="14" t="s">
        <v>204</v>
      </c>
      <c r="C20" s="14" t="s">
        <v>575</v>
      </c>
      <c r="D20" s="14" t="s">
        <v>701</v>
      </c>
      <c r="E20" s="13">
        <f>COUNTIFS('Danh sách test'!$R$5:$R$127,"*|TH16|*")</f>
        <v>3</v>
      </c>
      <c r="F20" s="13">
        <f>COUNTIFS('Danh sách test'!$R$5:$R$127,"*|TH16|*",'Danh sách test'!$P$5:$P$127,"Đạt")</f>
        <v>0</v>
      </c>
      <c r="G20" s="13">
        <f>COUNTIFS('Danh sách test'!$R$5:$R$127,"*|TH16|*",'Danh sách test'!$P$5:$P$127,"Lỗi")+COUNTIFS('Danh sách test'!$R$5:$R$127,"*|TH16|*",'Danh sách test'!$P$5:$P$127,"Đã sửa – chờ test lại")</f>
        <v>0</v>
      </c>
      <c r="H20" s="13">
        <f>COUNTIFS('Danh sách test'!$R$5:$R$127,"*|TH16|*",'Danh sách test'!$P$5:$P$127,"Chờ người / dữ liệu")</f>
        <v>0</v>
      </c>
      <c r="I20" s="13" t="str">
        <f t="shared" si="0"/>
        <v>Chưa test</v>
      </c>
      <c r="J20" s="22"/>
    </row>
    <row r="21" spans="1:10" ht="26.4" x14ac:dyDescent="0.3">
      <c r="A21" s="14" t="s">
        <v>225</v>
      </c>
      <c r="B21" s="14" t="s">
        <v>716</v>
      </c>
      <c r="C21" s="14" t="s">
        <v>579</v>
      </c>
      <c r="D21" s="14" t="s">
        <v>701</v>
      </c>
      <c r="E21" s="13">
        <f>COUNTIFS('Danh sách test'!$R$5:$R$127,"*|TH17|*")</f>
        <v>4</v>
      </c>
      <c r="F21" s="13">
        <f>COUNTIFS('Danh sách test'!$R$5:$R$127,"*|TH17|*",'Danh sách test'!$P$5:$P$127,"Đạt")</f>
        <v>0</v>
      </c>
      <c r="G21" s="13">
        <f>COUNTIFS('Danh sách test'!$R$5:$R$127,"*|TH17|*",'Danh sách test'!$P$5:$P$127,"Lỗi")+COUNTIFS('Danh sách test'!$R$5:$R$127,"*|TH17|*",'Danh sách test'!$P$5:$P$127,"Đã sửa – chờ test lại")</f>
        <v>0</v>
      </c>
      <c r="H21" s="13">
        <f>COUNTIFS('Danh sách test'!$R$5:$R$127,"*|TH17|*",'Danh sách test'!$P$5:$P$127,"Chờ người / dữ liệu")</f>
        <v>0</v>
      </c>
      <c r="I21" s="13" t="str">
        <f t="shared" si="0"/>
        <v>Chưa test</v>
      </c>
      <c r="J21" s="22"/>
    </row>
    <row r="22" spans="1:10" x14ac:dyDescent="0.3">
      <c r="A22" s="14" t="s">
        <v>240</v>
      </c>
      <c r="B22" s="14" t="s">
        <v>717</v>
      </c>
      <c r="C22" s="14" t="s">
        <v>583</v>
      </c>
      <c r="D22" s="14" t="s">
        <v>701</v>
      </c>
      <c r="E22" s="13">
        <f>COUNTIFS('Danh sách test'!$R$5:$R$127,"*|TH18|*")</f>
        <v>5</v>
      </c>
      <c r="F22" s="13">
        <f>COUNTIFS('Danh sách test'!$R$5:$R$127,"*|TH18|*",'Danh sách test'!$P$5:$P$127,"Đạt")</f>
        <v>0</v>
      </c>
      <c r="G22" s="13">
        <f>COUNTIFS('Danh sách test'!$R$5:$R$127,"*|TH18|*",'Danh sách test'!$P$5:$P$127,"Lỗi")+COUNTIFS('Danh sách test'!$R$5:$R$127,"*|TH18|*",'Danh sách test'!$P$5:$P$127,"Đã sửa – chờ test lại")</f>
        <v>0</v>
      </c>
      <c r="H22" s="13">
        <f>COUNTIFS('Danh sách test'!$R$5:$R$127,"*|TH18|*",'Danh sách test'!$P$5:$P$127,"Chờ người / dữ liệu")</f>
        <v>0</v>
      </c>
      <c r="I22" s="13" t="str">
        <f t="shared" si="0"/>
        <v>Chưa test</v>
      </c>
      <c r="J22" s="22"/>
    </row>
    <row r="23" spans="1:10" x14ac:dyDescent="0.3">
      <c r="A23" s="14" t="s">
        <v>443</v>
      </c>
      <c r="B23" s="14" t="s">
        <v>718</v>
      </c>
      <c r="C23" s="14" t="s">
        <v>587</v>
      </c>
      <c r="D23" s="14" t="s">
        <v>701</v>
      </c>
      <c r="E23" s="13">
        <f>COUNTIFS('Danh sách test'!$R$5:$R$127,"*|TH19|*")</f>
        <v>3</v>
      </c>
      <c r="F23" s="13">
        <f>COUNTIFS('Danh sách test'!$R$5:$R$127,"*|TH19|*",'Danh sách test'!$P$5:$P$127,"Đạt")</f>
        <v>0</v>
      </c>
      <c r="G23" s="13">
        <f>COUNTIFS('Danh sách test'!$R$5:$R$127,"*|TH19|*",'Danh sách test'!$P$5:$P$127,"Lỗi")+COUNTIFS('Danh sách test'!$R$5:$R$127,"*|TH19|*",'Danh sách test'!$P$5:$P$127,"Đã sửa – chờ test lại")</f>
        <v>0</v>
      </c>
      <c r="H23" s="13">
        <f>COUNTIFS('Danh sách test'!$R$5:$R$127,"*|TH19|*",'Danh sách test'!$P$5:$P$127,"Chờ người / dữ liệu")</f>
        <v>0</v>
      </c>
      <c r="I23" s="13" t="str">
        <f t="shared" si="0"/>
        <v>Chưa test</v>
      </c>
      <c r="J23" s="22"/>
    </row>
    <row r="24" spans="1:10" ht="26.4" x14ac:dyDescent="0.3">
      <c r="A24" s="14" t="s">
        <v>450</v>
      </c>
      <c r="B24" s="14" t="s">
        <v>719</v>
      </c>
      <c r="C24" s="14" t="s">
        <v>591</v>
      </c>
      <c r="D24" s="14" t="s">
        <v>701</v>
      </c>
      <c r="E24" s="13">
        <f>COUNTIFS('Danh sách test'!$R$5:$R$127,"*|TH20|*")</f>
        <v>4</v>
      </c>
      <c r="F24" s="13">
        <f>COUNTIFS('Danh sách test'!$R$5:$R$127,"*|TH20|*",'Danh sách test'!$P$5:$P$127,"Đạt")</f>
        <v>0</v>
      </c>
      <c r="G24" s="13">
        <f>COUNTIFS('Danh sách test'!$R$5:$R$127,"*|TH20|*",'Danh sách test'!$P$5:$P$127,"Lỗi")+COUNTIFS('Danh sách test'!$R$5:$R$127,"*|TH20|*",'Danh sách test'!$P$5:$P$127,"Đã sửa – chờ test lại")</f>
        <v>0</v>
      </c>
      <c r="H24" s="13">
        <f>COUNTIFS('Danh sách test'!$R$5:$R$127,"*|TH20|*",'Danh sách test'!$P$5:$P$127,"Chờ người / dữ liệu")</f>
        <v>1</v>
      </c>
      <c r="I24" s="13" t="str">
        <f t="shared" si="0"/>
        <v>Đang chờ</v>
      </c>
      <c r="J24" s="22"/>
    </row>
    <row r="25" spans="1:10" x14ac:dyDescent="0.3">
      <c r="A25" s="14" t="s">
        <v>430</v>
      </c>
      <c r="B25" s="14" t="s">
        <v>720</v>
      </c>
      <c r="C25" s="14" t="s">
        <v>595</v>
      </c>
      <c r="D25" s="14" t="s">
        <v>701</v>
      </c>
      <c r="E25" s="13">
        <f>COUNTIFS('Danh sách test'!$R$5:$R$127,"*|TH21|*")</f>
        <v>3</v>
      </c>
      <c r="F25" s="13">
        <f>COUNTIFS('Danh sách test'!$R$5:$R$127,"*|TH21|*",'Danh sách test'!$P$5:$P$127,"Đạt")</f>
        <v>0</v>
      </c>
      <c r="G25" s="13">
        <f>COUNTIFS('Danh sách test'!$R$5:$R$127,"*|TH21|*",'Danh sách test'!$P$5:$P$127,"Lỗi")+COUNTIFS('Danh sách test'!$R$5:$R$127,"*|TH21|*",'Danh sách test'!$P$5:$P$127,"Đã sửa – chờ test lại")</f>
        <v>0</v>
      </c>
      <c r="H25" s="13">
        <f>COUNTIFS('Danh sách test'!$R$5:$R$127,"*|TH21|*",'Danh sách test'!$P$5:$P$127,"Chờ người / dữ liệu")</f>
        <v>0</v>
      </c>
      <c r="I25" s="13" t="str">
        <f t="shared" si="0"/>
        <v>Chưa test</v>
      </c>
      <c r="J25" s="22"/>
    </row>
    <row r="26" spans="1:10" x14ac:dyDescent="0.3">
      <c r="A26" s="14" t="s">
        <v>600</v>
      </c>
      <c r="B26" s="14" t="s">
        <v>420</v>
      </c>
      <c r="C26" s="14" t="s">
        <v>599</v>
      </c>
      <c r="D26" s="14" t="s">
        <v>701</v>
      </c>
      <c r="E26" s="13">
        <f>COUNTIFS('Danh sách test'!$R$5:$R$127,"*|TH22|*")</f>
        <v>2</v>
      </c>
      <c r="F26" s="13">
        <f>COUNTIFS('Danh sách test'!$R$5:$R$127,"*|TH22|*",'Danh sách test'!$P$5:$P$127,"Đạt")</f>
        <v>0</v>
      </c>
      <c r="G26" s="13">
        <f>COUNTIFS('Danh sách test'!$R$5:$R$127,"*|TH22|*",'Danh sách test'!$P$5:$P$127,"Lỗi")+COUNTIFS('Danh sách test'!$R$5:$R$127,"*|TH22|*",'Danh sách test'!$P$5:$P$127,"Đã sửa – chờ test lại")</f>
        <v>0</v>
      </c>
      <c r="H26" s="13">
        <f>COUNTIFS('Danh sách test'!$R$5:$R$127,"*|TH22|*",'Danh sách test'!$P$5:$P$127,"Chờ người / dữ liệu")</f>
        <v>0</v>
      </c>
      <c r="I26" s="13" t="str">
        <f t="shared" si="0"/>
        <v>Chưa test</v>
      </c>
      <c r="J26" s="22"/>
    </row>
    <row r="27" spans="1:10" ht="26.4" x14ac:dyDescent="0.3">
      <c r="A27" s="14" t="s">
        <v>331</v>
      </c>
      <c r="B27" s="14" t="s">
        <v>721</v>
      </c>
      <c r="C27" s="14" t="s">
        <v>605</v>
      </c>
      <c r="D27" s="14" t="s">
        <v>701</v>
      </c>
      <c r="E27" s="13">
        <f>COUNTIFS('Danh sách test'!$R$5:$R$127,"*|TH23|*")</f>
        <v>3</v>
      </c>
      <c r="F27" s="13">
        <f>COUNTIFS('Danh sách test'!$R$5:$R$127,"*|TH23|*",'Danh sách test'!$P$5:$P$127,"Đạt")</f>
        <v>0</v>
      </c>
      <c r="G27" s="13">
        <f>COUNTIFS('Danh sách test'!$R$5:$R$127,"*|TH23|*",'Danh sách test'!$P$5:$P$127,"Lỗi")+COUNTIFS('Danh sách test'!$R$5:$R$127,"*|TH23|*",'Danh sách test'!$P$5:$P$127,"Đã sửa – chờ test lại")</f>
        <v>0</v>
      </c>
      <c r="H27" s="13">
        <f>COUNTIFS('Danh sách test'!$R$5:$R$127,"*|TH23|*",'Danh sách test'!$P$5:$P$127,"Chờ người / dữ liệu")</f>
        <v>0</v>
      </c>
      <c r="I27" s="13" t="str">
        <f t="shared" si="0"/>
        <v>Chưa test</v>
      </c>
      <c r="J27" s="22"/>
    </row>
    <row r="28" spans="1:10" x14ac:dyDescent="0.3">
      <c r="A28" s="14" t="s">
        <v>463</v>
      </c>
      <c r="B28" s="14" t="s">
        <v>722</v>
      </c>
      <c r="C28" s="14" t="s">
        <v>609</v>
      </c>
      <c r="D28" s="14" t="s">
        <v>701</v>
      </c>
      <c r="E28" s="13">
        <f>COUNTIFS('Danh sách test'!$R$5:$R$127,"*|TH24|*")</f>
        <v>3</v>
      </c>
      <c r="F28" s="13">
        <f>COUNTIFS('Danh sách test'!$R$5:$R$127,"*|TH24|*",'Danh sách test'!$P$5:$P$127,"Đạt")</f>
        <v>0</v>
      </c>
      <c r="G28" s="13">
        <f>COUNTIFS('Danh sách test'!$R$5:$R$127,"*|TH24|*",'Danh sách test'!$P$5:$P$127,"Lỗi")+COUNTIFS('Danh sách test'!$R$5:$R$127,"*|TH24|*",'Danh sách test'!$P$5:$P$127,"Đã sửa – chờ test lại")</f>
        <v>0</v>
      </c>
      <c r="H28" s="13">
        <f>COUNTIFS('Danh sách test'!$R$5:$R$127,"*|TH24|*",'Danh sách test'!$P$5:$P$127,"Chờ người / dữ liệu")</f>
        <v>0</v>
      </c>
      <c r="I28" s="13" t="str">
        <f t="shared" si="0"/>
        <v>Chưa test</v>
      </c>
      <c r="J28" s="22"/>
    </row>
    <row r="29" spans="1:10" x14ac:dyDescent="0.3">
      <c r="A29" s="14" t="s">
        <v>436</v>
      </c>
      <c r="B29" s="14" t="s">
        <v>723</v>
      </c>
      <c r="C29" s="14" t="s">
        <v>613</v>
      </c>
      <c r="D29" s="14" t="s">
        <v>701</v>
      </c>
      <c r="E29" s="13">
        <f>COUNTIFS('Danh sách test'!$R$5:$R$127,"*|TH25|*")</f>
        <v>5</v>
      </c>
      <c r="F29" s="13">
        <f>COUNTIFS('Danh sách test'!$R$5:$R$127,"*|TH25|*",'Danh sách test'!$P$5:$P$127,"Đạt")</f>
        <v>0</v>
      </c>
      <c r="G29" s="13">
        <f>COUNTIFS('Danh sách test'!$R$5:$R$127,"*|TH25|*",'Danh sách test'!$P$5:$P$127,"Lỗi")+COUNTIFS('Danh sách test'!$R$5:$R$127,"*|TH25|*",'Danh sách test'!$P$5:$P$127,"Đã sửa – chờ test lại")</f>
        <v>0</v>
      </c>
      <c r="H29" s="13">
        <f>COUNTIFS('Danh sách test'!$R$5:$R$127,"*|TH25|*",'Danh sách test'!$P$5:$P$127,"Chờ người / dữ liệu")</f>
        <v>0</v>
      </c>
      <c r="I29" s="13" t="str">
        <f t="shared" si="0"/>
        <v>Chưa test</v>
      </c>
      <c r="J29" s="22"/>
    </row>
    <row r="30" spans="1:10" ht="26.4" x14ac:dyDescent="0.3">
      <c r="A30" s="23" t="s">
        <v>359</v>
      </c>
      <c r="B30" s="14" t="s">
        <v>724</v>
      </c>
      <c r="C30" s="14" t="s">
        <v>725</v>
      </c>
      <c r="D30" s="14" t="s">
        <v>726</v>
      </c>
      <c r="E30" s="13">
        <f>COUNTIFS('Danh sách test'!$R$5:$R$127,"*|VD1|*")</f>
        <v>2</v>
      </c>
      <c r="F30" s="13">
        <f>COUNTIFS('Danh sách test'!$R$5:$R$127,"*|VD1|*",'Danh sách test'!$P$5:$P$127,"Đạt")</f>
        <v>0</v>
      </c>
      <c r="G30" s="13">
        <f>COUNTIFS('Danh sách test'!$R$5:$R$127,"*|VD1|*",'Danh sách test'!$P$5:$P$127,"Lỗi")+COUNTIFS('Danh sách test'!$R$5:$R$127,"*|VD1|*",'Danh sách test'!$P$5:$P$127,"Đã sửa – chờ test lại")</f>
        <v>0</v>
      </c>
      <c r="H30" s="13">
        <f>COUNTIFS('Danh sách test'!$R$5:$R$127,"*|VD1|*",'Danh sách test'!$P$5:$P$127,"Chờ người / dữ liệu")</f>
        <v>2</v>
      </c>
      <c r="I30" s="13" t="str">
        <f t="shared" si="0"/>
        <v>Đang chờ</v>
      </c>
      <c r="J30" s="22"/>
    </row>
    <row r="31" spans="1:10" x14ac:dyDescent="0.3">
      <c r="A31" s="14" t="s">
        <v>118</v>
      </c>
      <c r="B31" s="14" t="s">
        <v>727</v>
      </c>
      <c r="C31" s="14" t="s">
        <v>728</v>
      </c>
      <c r="D31" s="14" t="s">
        <v>701</v>
      </c>
      <c r="E31" s="13">
        <f>COUNTIFS('Danh sách test'!$R$5:$R$127,"*|VD2|*")</f>
        <v>4</v>
      </c>
      <c r="F31" s="13">
        <f>COUNTIFS('Danh sách test'!$R$5:$R$127,"*|VD2|*",'Danh sách test'!$P$5:$P$127,"Đạt")</f>
        <v>0</v>
      </c>
      <c r="G31" s="13">
        <f>COUNTIFS('Danh sách test'!$R$5:$R$127,"*|VD2|*",'Danh sách test'!$P$5:$P$127,"Lỗi")+COUNTIFS('Danh sách test'!$R$5:$R$127,"*|VD2|*",'Danh sách test'!$P$5:$P$127,"Đã sửa – chờ test lại")</f>
        <v>0</v>
      </c>
      <c r="H31" s="13">
        <f>COUNTIFS('Danh sách test'!$R$5:$R$127,"*|VD2|*",'Danh sách test'!$P$5:$P$127,"Chờ người / dữ liệu")</f>
        <v>0</v>
      </c>
      <c r="I31" s="13" t="str">
        <f t="shared" si="0"/>
        <v>Chưa test</v>
      </c>
      <c r="J31" s="22"/>
    </row>
    <row r="32" spans="1:10" x14ac:dyDescent="0.3">
      <c r="A32" s="14" t="s">
        <v>628</v>
      </c>
      <c r="B32" s="14" t="s">
        <v>729</v>
      </c>
      <c r="C32" s="14" t="s">
        <v>730</v>
      </c>
      <c r="D32" s="14" t="s">
        <v>701</v>
      </c>
      <c r="E32" s="13">
        <f>COUNTIFS('Danh sách test'!$R$5:$R$127,"*|VD3|*")</f>
        <v>2</v>
      </c>
      <c r="F32" s="13">
        <f>COUNTIFS('Danh sách test'!$R$5:$R$127,"*|VD3|*",'Danh sách test'!$P$5:$P$127,"Đạt")</f>
        <v>0</v>
      </c>
      <c r="G32" s="13">
        <f>COUNTIFS('Danh sách test'!$R$5:$R$127,"*|VD3|*",'Danh sách test'!$P$5:$P$127,"Lỗi")+COUNTIFS('Danh sách test'!$R$5:$R$127,"*|VD3|*",'Danh sách test'!$P$5:$P$127,"Đã sửa – chờ test lại")</f>
        <v>0</v>
      </c>
      <c r="H32" s="13">
        <f>COUNTIFS('Danh sách test'!$R$5:$R$127,"*|VD3|*",'Danh sách test'!$P$5:$P$127,"Chờ người / dữ liệu")</f>
        <v>0</v>
      </c>
      <c r="I32" s="13" t="str">
        <f t="shared" si="0"/>
        <v>Chưa test</v>
      </c>
      <c r="J32" s="22"/>
    </row>
    <row r="33" spans="1:10" x14ac:dyDescent="0.3">
      <c r="A33" s="14" t="s">
        <v>112</v>
      </c>
      <c r="B33" s="14" t="s">
        <v>731</v>
      </c>
      <c r="C33" s="14" t="s">
        <v>732</v>
      </c>
      <c r="D33" s="14" t="s">
        <v>701</v>
      </c>
      <c r="E33" s="13">
        <f>COUNTIFS('Danh sách test'!$R$5:$R$127,"*|VD4|*")</f>
        <v>5</v>
      </c>
      <c r="F33" s="13">
        <f>COUNTIFS('Danh sách test'!$R$5:$R$127,"*|VD4|*",'Danh sách test'!$P$5:$P$127,"Đạt")</f>
        <v>0</v>
      </c>
      <c r="G33" s="13">
        <f>COUNTIFS('Danh sách test'!$R$5:$R$127,"*|VD4|*",'Danh sách test'!$P$5:$P$127,"Lỗi")+COUNTIFS('Danh sách test'!$R$5:$R$127,"*|VD4|*",'Danh sách test'!$P$5:$P$127,"Đã sửa – chờ test lại")</f>
        <v>0</v>
      </c>
      <c r="H33" s="13">
        <f>COUNTIFS('Danh sách test'!$R$5:$R$127,"*|VD4|*",'Danh sách test'!$P$5:$P$127,"Chờ người / dữ liệu")</f>
        <v>0</v>
      </c>
      <c r="I33" s="13" t="str">
        <f t="shared" si="0"/>
        <v>Chưa test</v>
      </c>
      <c r="J33" s="22"/>
    </row>
    <row r="34" spans="1:10" x14ac:dyDescent="0.3">
      <c r="A34" s="14" t="s">
        <v>638</v>
      </c>
      <c r="B34" s="14" t="s">
        <v>344</v>
      </c>
      <c r="C34" s="14" t="s">
        <v>733</v>
      </c>
      <c r="D34" s="14" t="s">
        <v>701</v>
      </c>
      <c r="E34" s="13">
        <f>COUNTIFS('Danh sách test'!$R$5:$R$127,"*|VD5|*")</f>
        <v>2</v>
      </c>
      <c r="F34" s="13">
        <f>COUNTIFS('Danh sách test'!$R$5:$R$127,"*|VD5|*",'Danh sách test'!$P$5:$P$127,"Đạt")</f>
        <v>0</v>
      </c>
      <c r="G34" s="13">
        <f>COUNTIFS('Danh sách test'!$R$5:$R$127,"*|VD5|*",'Danh sách test'!$P$5:$P$127,"Lỗi")+COUNTIFS('Danh sách test'!$R$5:$R$127,"*|VD5|*",'Danh sách test'!$P$5:$P$127,"Đã sửa – chờ test lại")</f>
        <v>0</v>
      </c>
      <c r="H34" s="13">
        <f>COUNTIFS('Danh sách test'!$R$5:$R$127,"*|VD5|*",'Danh sách test'!$P$5:$P$127,"Chờ người / dữ liệu")</f>
        <v>0</v>
      </c>
      <c r="I34" s="13" t="str">
        <f t="shared" si="0"/>
        <v>Chưa test</v>
      </c>
      <c r="J34" s="22"/>
    </row>
    <row r="35" spans="1:10" x14ac:dyDescent="0.3">
      <c r="A35" s="14" t="s">
        <v>644</v>
      </c>
      <c r="B35" s="14" t="s">
        <v>734</v>
      </c>
      <c r="C35" s="14" t="s">
        <v>735</v>
      </c>
      <c r="D35" s="14" t="s">
        <v>701</v>
      </c>
      <c r="E35" s="13">
        <f>COUNTIFS('Danh sách test'!$R$5:$R$127,"*|VD6|*")</f>
        <v>2</v>
      </c>
      <c r="F35" s="13">
        <f>COUNTIFS('Danh sách test'!$R$5:$R$127,"*|VD6|*",'Danh sách test'!$P$5:$P$127,"Đạt")</f>
        <v>0</v>
      </c>
      <c r="G35" s="13">
        <f>COUNTIFS('Danh sách test'!$R$5:$R$127,"*|VD6|*",'Danh sách test'!$P$5:$P$127,"Lỗi")+COUNTIFS('Danh sách test'!$R$5:$R$127,"*|VD6|*",'Danh sách test'!$P$5:$P$127,"Đã sửa – chờ test lại")</f>
        <v>0</v>
      </c>
      <c r="H35" s="13">
        <f>COUNTIFS('Danh sách test'!$R$5:$R$127,"*|VD6|*",'Danh sách test'!$P$5:$P$127,"Chờ người / dữ liệu")</f>
        <v>0</v>
      </c>
      <c r="I35" s="13" t="str">
        <f t="shared" si="0"/>
        <v>Chưa test</v>
      </c>
      <c r="J35" s="22"/>
    </row>
    <row r="36" spans="1:10" x14ac:dyDescent="0.3">
      <c r="A36" s="14" t="s">
        <v>650</v>
      </c>
      <c r="B36" s="14" t="s">
        <v>736</v>
      </c>
      <c r="C36" s="14" t="s">
        <v>737</v>
      </c>
      <c r="D36" s="14" t="s">
        <v>701</v>
      </c>
      <c r="E36" s="13">
        <f>COUNTIFS('Danh sách test'!$R$5:$R$127,"*|VD7|*")</f>
        <v>2</v>
      </c>
      <c r="F36" s="13">
        <f>COUNTIFS('Danh sách test'!$R$5:$R$127,"*|VD7|*",'Danh sách test'!$P$5:$P$127,"Đạt")</f>
        <v>0</v>
      </c>
      <c r="G36" s="13">
        <f>COUNTIFS('Danh sách test'!$R$5:$R$127,"*|VD7|*",'Danh sách test'!$P$5:$P$127,"Lỗi")+COUNTIFS('Danh sách test'!$R$5:$R$127,"*|VD7|*",'Danh sách test'!$P$5:$P$127,"Đã sửa – chờ test lại")</f>
        <v>0</v>
      </c>
      <c r="H36" s="13">
        <f>COUNTIFS('Danh sách test'!$R$5:$R$127,"*|VD7|*",'Danh sách test'!$P$5:$P$127,"Chờ người / dữ liệu")</f>
        <v>0</v>
      </c>
      <c r="I36" s="13" t="str">
        <f t="shared" si="0"/>
        <v>Chưa test</v>
      </c>
      <c r="J36" s="22"/>
    </row>
    <row r="37" spans="1:10" x14ac:dyDescent="0.3">
      <c r="A37" s="14" t="s">
        <v>656</v>
      </c>
      <c r="B37" s="14" t="s">
        <v>738</v>
      </c>
      <c r="C37" s="14" t="s">
        <v>739</v>
      </c>
      <c r="D37" s="14" t="s">
        <v>701</v>
      </c>
      <c r="E37" s="13">
        <f>COUNTIFS('Danh sách test'!$R$5:$R$127,"*|VD8|*")</f>
        <v>2</v>
      </c>
      <c r="F37" s="13">
        <f>COUNTIFS('Danh sách test'!$R$5:$R$127,"*|VD8|*",'Danh sách test'!$P$5:$P$127,"Đạt")</f>
        <v>0</v>
      </c>
      <c r="G37" s="13">
        <f>COUNTIFS('Danh sách test'!$R$5:$R$127,"*|VD8|*",'Danh sách test'!$P$5:$P$127,"Lỗi")+COUNTIFS('Danh sách test'!$R$5:$R$127,"*|VD8|*",'Danh sách test'!$P$5:$P$127,"Đã sửa – chờ test lại")</f>
        <v>0</v>
      </c>
      <c r="H37" s="13">
        <f>COUNTIFS('Danh sách test'!$R$5:$R$127,"*|VD8|*",'Danh sách test'!$P$5:$P$127,"Chờ người / dữ liệu")</f>
        <v>0</v>
      </c>
      <c r="I37" s="13" t="str">
        <f t="shared" si="0"/>
        <v>Chưa test</v>
      </c>
      <c r="J37" s="22"/>
    </row>
    <row r="39" spans="1:10" ht="15.6" x14ac:dyDescent="0.3">
      <c r="B39" s="3" t="s">
        <v>740</v>
      </c>
      <c r="C39" s="24" t="str">
        <f>COUNTIF(I5:I29,"Đạt")&amp;" / 25"</f>
        <v>0 / 25</v>
      </c>
    </row>
    <row r="40" spans="1:10" ht="15.6" x14ac:dyDescent="0.3">
      <c r="B40" s="3" t="s">
        <v>741</v>
      </c>
      <c r="C40" s="24" t="str">
        <f>COUNTIF(I30:I37,"Đạt")&amp;" / 8"</f>
        <v>0 / 8</v>
      </c>
    </row>
  </sheetData>
  <conditionalFormatting sqref="I5:I37">
    <cfRule type="cellIs" dxfId="4" priority="1" operator="equal">
      <formula>"Đạt"</formula>
    </cfRule>
    <cfRule type="cellIs" dxfId="3" priority="2" operator="equal">
      <formula>"Có lỗi"</formula>
    </cfRule>
    <cfRule type="cellIs" dxfId="2" priority="3" operator="equal">
      <formula>"Đang chờ"</formula>
    </cfRule>
    <cfRule type="cellIs" dxfId="1" priority="4" operator="equal">
      <formula>"Đang test"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J3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6" customWidth="1"/>
    <col min="2" max="2" width="9" customWidth="1"/>
    <col min="3" max="3" width="11" customWidth="1"/>
    <col min="4" max="4" width="8" customWidth="1"/>
    <col min="5" max="5" width="11" customWidth="1"/>
    <col min="6" max="8" width="9" customWidth="1"/>
    <col min="9" max="9" width="10" customWidth="1"/>
    <col min="10" max="10" width="11" customWidth="1"/>
  </cols>
  <sheetData>
    <row r="1" spans="1:10" ht="16.8" x14ac:dyDescent="0.3">
      <c r="A1" s="11" t="s">
        <v>742</v>
      </c>
    </row>
    <row r="2" spans="1:10" x14ac:dyDescent="0.3">
      <c r="A2" s="6" t="s">
        <v>743</v>
      </c>
    </row>
    <row r="4" spans="1:10" ht="26.4" x14ac:dyDescent="0.3">
      <c r="A4" s="12" t="s">
        <v>31</v>
      </c>
      <c r="B4" s="12" t="s">
        <v>744</v>
      </c>
      <c r="C4" s="12" t="s">
        <v>37</v>
      </c>
      <c r="D4" s="12" t="s">
        <v>696</v>
      </c>
      <c r="E4" s="12" t="s">
        <v>745</v>
      </c>
      <c r="F4" s="12" t="s">
        <v>746</v>
      </c>
      <c r="G4" s="12" t="s">
        <v>55</v>
      </c>
      <c r="H4" s="12" t="s">
        <v>698</v>
      </c>
      <c r="I4" s="12" t="s">
        <v>747</v>
      </c>
      <c r="J4" s="12" t="s">
        <v>748</v>
      </c>
    </row>
    <row r="5" spans="1:10" x14ac:dyDescent="0.3">
      <c r="A5" s="14" t="s">
        <v>48</v>
      </c>
      <c r="B5" s="13">
        <f>COUNTIFS('Danh sách test'!$B$5:$B$127,$A5)</f>
        <v>8</v>
      </c>
      <c r="C5" s="25">
        <f>SUMIFS('Danh sách test'!$I$5:$I$127,'Danh sách test'!$B$5:$B$127,$A5)</f>
        <v>4.5</v>
      </c>
      <c r="D5" s="13">
        <f>COUNTIFS('Danh sách test'!$B$5:$B$127,$A5,'Danh sách test'!$P$5:$P$127,"Đạt")</f>
        <v>0</v>
      </c>
      <c r="E5" s="13">
        <f>COUNTIFS('Danh sách test'!$B$5:$B$127,$A5,'Danh sách test'!$P$5:$P$127,"Lỗi")+COUNTIFS('Danh sách test'!$B$5:$B$127,$A5,'Danh sách test'!$P$5:$P$127,"Đã sửa – chờ test lại")</f>
        <v>0</v>
      </c>
      <c r="F5" s="13">
        <f>COUNTIFS('Danh sách test'!$B$5:$B$127,$A5,'Danh sách test'!$P$5:$P$127,"Đang test")</f>
        <v>0</v>
      </c>
      <c r="G5" s="13">
        <f>COUNTIFS('Danh sách test'!$B$5:$B$127,$A5,'Danh sách test'!$P$5:$P$127,"Chưa test")</f>
        <v>8</v>
      </c>
      <c r="H5" s="13">
        <f>COUNTIFS('Danh sách test'!$B$5:$B$127,$A5,'Danh sách test'!$P$5:$P$127,"Chờ người / dữ liệu")</f>
        <v>0</v>
      </c>
      <c r="I5" s="26">
        <f t="shared" ref="I5:I15" si="0">IF(B5=0,0,D5/B5)</f>
        <v>0</v>
      </c>
      <c r="J5" s="25">
        <f>C5-SUMIFS('Danh sách test'!$I$5:$I$127,'Danh sách test'!$B$5:$B$127,$A5,'Danh sách test'!$P$5:$P$127,"Đạt")</f>
        <v>4.5</v>
      </c>
    </row>
    <row r="6" spans="1:10" x14ac:dyDescent="0.3">
      <c r="A6" s="14" t="s">
        <v>90</v>
      </c>
      <c r="B6" s="13">
        <f>COUNTIFS('Danh sách test'!$B$5:$B$127,$A6)</f>
        <v>14</v>
      </c>
      <c r="C6" s="25">
        <f>SUMIFS('Danh sách test'!$I$5:$I$127,'Danh sách test'!$B$5:$B$127,$A6)</f>
        <v>10.25</v>
      </c>
      <c r="D6" s="13">
        <f>COUNTIFS('Danh sách test'!$B$5:$B$127,$A6,'Danh sách test'!$P$5:$P$127,"Đạt")</f>
        <v>0</v>
      </c>
      <c r="E6" s="13">
        <f>COUNTIFS('Danh sách test'!$B$5:$B$127,$A6,'Danh sách test'!$P$5:$P$127,"Lỗi")+COUNTIFS('Danh sách test'!$B$5:$B$127,$A6,'Danh sách test'!$P$5:$P$127,"Đã sửa – chờ test lại")</f>
        <v>0</v>
      </c>
      <c r="F6" s="13">
        <f>COUNTIFS('Danh sách test'!$B$5:$B$127,$A6,'Danh sách test'!$P$5:$P$127,"Đang test")</f>
        <v>0</v>
      </c>
      <c r="G6" s="13">
        <f>COUNTIFS('Danh sách test'!$B$5:$B$127,$A6,'Danh sách test'!$P$5:$P$127,"Chưa test")</f>
        <v>14</v>
      </c>
      <c r="H6" s="13">
        <f>COUNTIFS('Danh sách test'!$B$5:$B$127,$A6,'Danh sách test'!$P$5:$P$127,"Chờ người / dữ liệu")</f>
        <v>0</v>
      </c>
      <c r="I6" s="26">
        <f t="shared" si="0"/>
        <v>0</v>
      </c>
      <c r="J6" s="25">
        <f>C6-SUMIFS('Danh sách test'!$I$5:$I$127,'Danh sách test'!$B$5:$B$127,$A6,'Danh sách test'!$P$5:$P$127,"Đạt")</f>
        <v>10.25</v>
      </c>
    </row>
    <row r="7" spans="1:10" x14ac:dyDescent="0.3">
      <c r="A7" s="14" t="s">
        <v>160</v>
      </c>
      <c r="B7" s="13">
        <f>COUNTIFS('Danh sách test'!$B$5:$B$127,$A7)</f>
        <v>14</v>
      </c>
      <c r="C7" s="25">
        <f>SUMIFS('Danh sách test'!$I$5:$I$127,'Danh sách test'!$B$5:$B$127,$A7)</f>
        <v>10</v>
      </c>
      <c r="D7" s="13">
        <f>COUNTIFS('Danh sách test'!$B$5:$B$127,$A7,'Danh sách test'!$P$5:$P$127,"Đạt")</f>
        <v>0</v>
      </c>
      <c r="E7" s="13">
        <f>COUNTIFS('Danh sách test'!$B$5:$B$127,$A7,'Danh sách test'!$P$5:$P$127,"Lỗi")+COUNTIFS('Danh sách test'!$B$5:$B$127,$A7,'Danh sách test'!$P$5:$P$127,"Đã sửa – chờ test lại")</f>
        <v>0</v>
      </c>
      <c r="F7" s="13">
        <f>COUNTIFS('Danh sách test'!$B$5:$B$127,$A7,'Danh sách test'!$P$5:$P$127,"Đang test")</f>
        <v>0</v>
      </c>
      <c r="G7" s="13">
        <f>COUNTIFS('Danh sách test'!$B$5:$B$127,$A7,'Danh sách test'!$P$5:$P$127,"Chưa test")</f>
        <v>14</v>
      </c>
      <c r="H7" s="13">
        <f>COUNTIFS('Danh sách test'!$B$5:$B$127,$A7,'Danh sách test'!$P$5:$P$127,"Chờ người / dữ liệu")</f>
        <v>0</v>
      </c>
      <c r="I7" s="26">
        <f t="shared" si="0"/>
        <v>0</v>
      </c>
      <c r="J7" s="25">
        <f>C7-SUMIFS('Danh sách test'!$I$5:$I$127,'Danh sách test'!$B$5:$B$127,$A7,'Danh sách test'!$P$5:$P$127,"Đạt")</f>
        <v>10</v>
      </c>
    </row>
    <row r="8" spans="1:10" x14ac:dyDescent="0.3">
      <c r="A8" s="14" t="s">
        <v>243</v>
      </c>
      <c r="B8" s="13">
        <f>COUNTIFS('Danh sách test'!$B$5:$B$127,$A8)</f>
        <v>25</v>
      </c>
      <c r="C8" s="25">
        <f>SUMIFS('Danh sách test'!$I$5:$I$127,'Danh sách test'!$B$5:$B$127,$A8)</f>
        <v>17.75</v>
      </c>
      <c r="D8" s="13">
        <f>COUNTIFS('Danh sách test'!$B$5:$B$127,$A8,'Danh sách test'!$P$5:$P$127,"Đạt")</f>
        <v>0</v>
      </c>
      <c r="E8" s="13">
        <f>COUNTIFS('Danh sách test'!$B$5:$B$127,$A8,'Danh sách test'!$P$5:$P$127,"Lỗi")+COUNTIFS('Danh sách test'!$B$5:$B$127,$A8,'Danh sách test'!$P$5:$P$127,"Đã sửa – chờ test lại")</f>
        <v>0</v>
      </c>
      <c r="F8" s="13">
        <f>COUNTIFS('Danh sách test'!$B$5:$B$127,$A8,'Danh sách test'!$P$5:$P$127,"Đang test")</f>
        <v>0</v>
      </c>
      <c r="G8" s="13">
        <f>COUNTIFS('Danh sách test'!$B$5:$B$127,$A8,'Danh sách test'!$P$5:$P$127,"Chưa test")</f>
        <v>24</v>
      </c>
      <c r="H8" s="13">
        <f>COUNTIFS('Danh sách test'!$B$5:$B$127,$A8,'Danh sách test'!$P$5:$P$127,"Chờ người / dữ liệu")</f>
        <v>1</v>
      </c>
      <c r="I8" s="26">
        <f t="shared" si="0"/>
        <v>0</v>
      </c>
      <c r="J8" s="25">
        <f>C8-SUMIFS('Danh sách test'!$I$5:$I$127,'Danh sách test'!$B$5:$B$127,$A8,'Danh sách test'!$P$5:$P$127,"Đạt")</f>
        <v>17.75</v>
      </c>
    </row>
    <row r="9" spans="1:10" x14ac:dyDescent="0.3">
      <c r="A9" s="14" t="s">
        <v>373</v>
      </c>
      <c r="B9" s="13">
        <f>COUNTIFS('Danh sách test'!$B$5:$B$127,$A9)</f>
        <v>7</v>
      </c>
      <c r="C9" s="25">
        <f>SUMIFS('Danh sách test'!$I$5:$I$127,'Danh sách test'!$B$5:$B$127,$A9)</f>
        <v>4.5</v>
      </c>
      <c r="D9" s="13">
        <f>COUNTIFS('Danh sách test'!$B$5:$B$127,$A9,'Danh sách test'!$P$5:$P$127,"Đạt")</f>
        <v>0</v>
      </c>
      <c r="E9" s="13">
        <f>COUNTIFS('Danh sách test'!$B$5:$B$127,$A9,'Danh sách test'!$P$5:$P$127,"Lỗi")+COUNTIFS('Danh sách test'!$B$5:$B$127,$A9,'Danh sách test'!$P$5:$P$127,"Đã sửa – chờ test lại")</f>
        <v>0</v>
      </c>
      <c r="F9" s="13">
        <f>COUNTIFS('Danh sách test'!$B$5:$B$127,$A9,'Danh sách test'!$P$5:$P$127,"Đang test")</f>
        <v>0</v>
      </c>
      <c r="G9" s="13">
        <f>COUNTIFS('Danh sách test'!$B$5:$B$127,$A9,'Danh sách test'!$P$5:$P$127,"Chưa test")</f>
        <v>7</v>
      </c>
      <c r="H9" s="13">
        <f>COUNTIFS('Danh sách test'!$B$5:$B$127,$A9,'Danh sách test'!$P$5:$P$127,"Chờ người / dữ liệu")</f>
        <v>0</v>
      </c>
      <c r="I9" s="26">
        <f t="shared" si="0"/>
        <v>0</v>
      </c>
      <c r="J9" s="25">
        <f>C9-SUMIFS('Danh sách test'!$I$5:$I$127,'Danh sách test'!$B$5:$B$127,$A9,'Danh sách test'!$P$5:$P$127,"Đạt")</f>
        <v>4.5</v>
      </c>
    </row>
    <row r="10" spans="1:10" x14ac:dyDescent="0.3">
      <c r="A10" s="14" t="s">
        <v>406</v>
      </c>
      <c r="B10" s="13">
        <f>COUNTIFS('Danh sách test'!$B$5:$B$127,$A10)</f>
        <v>9</v>
      </c>
      <c r="C10" s="25">
        <f>SUMIFS('Danh sách test'!$I$5:$I$127,'Danh sách test'!$B$5:$B$127,$A10)</f>
        <v>5.5</v>
      </c>
      <c r="D10" s="13">
        <f>COUNTIFS('Danh sách test'!$B$5:$B$127,$A10,'Danh sách test'!$P$5:$P$127,"Đạt")</f>
        <v>0</v>
      </c>
      <c r="E10" s="13">
        <f>COUNTIFS('Danh sách test'!$B$5:$B$127,$A10,'Danh sách test'!$P$5:$P$127,"Lỗi")+COUNTIFS('Danh sách test'!$B$5:$B$127,$A10,'Danh sách test'!$P$5:$P$127,"Đã sửa – chờ test lại")</f>
        <v>0</v>
      </c>
      <c r="F10" s="13">
        <f>COUNTIFS('Danh sách test'!$B$5:$B$127,$A10,'Danh sách test'!$P$5:$P$127,"Đang test")</f>
        <v>0</v>
      </c>
      <c r="G10" s="13">
        <f>COUNTIFS('Danh sách test'!$B$5:$B$127,$A10,'Danh sách test'!$P$5:$P$127,"Chưa test")</f>
        <v>9</v>
      </c>
      <c r="H10" s="13">
        <f>COUNTIFS('Danh sách test'!$B$5:$B$127,$A10,'Danh sách test'!$P$5:$P$127,"Chờ người / dữ liệu")</f>
        <v>0</v>
      </c>
      <c r="I10" s="26">
        <f t="shared" si="0"/>
        <v>0</v>
      </c>
      <c r="J10" s="25">
        <f>C10-SUMIFS('Danh sách test'!$I$5:$I$127,'Danh sách test'!$B$5:$B$127,$A10,'Danh sách test'!$P$5:$P$127,"Đạt")</f>
        <v>5.5</v>
      </c>
    </row>
    <row r="11" spans="1:10" x14ac:dyDescent="0.3">
      <c r="A11" s="14" t="s">
        <v>458</v>
      </c>
      <c r="B11" s="13">
        <f>COUNTIFS('Danh sách test'!$B$5:$B$127,$A11)</f>
        <v>7</v>
      </c>
      <c r="C11" s="25">
        <f>SUMIFS('Danh sách test'!$I$5:$I$127,'Danh sách test'!$B$5:$B$127,$A11)</f>
        <v>4</v>
      </c>
      <c r="D11" s="13">
        <f>COUNTIFS('Danh sách test'!$B$5:$B$127,$A11,'Danh sách test'!$P$5:$P$127,"Đạt")</f>
        <v>0</v>
      </c>
      <c r="E11" s="13">
        <f>COUNTIFS('Danh sách test'!$B$5:$B$127,$A11,'Danh sách test'!$P$5:$P$127,"Lỗi")+COUNTIFS('Danh sách test'!$B$5:$B$127,$A11,'Danh sách test'!$P$5:$P$127,"Đã sửa – chờ test lại")</f>
        <v>0</v>
      </c>
      <c r="F11" s="13">
        <f>COUNTIFS('Danh sách test'!$B$5:$B$127,$A11,'Danh sách test'!$P$5:$P$127,"Đang test")</f>
        <v>0</v>
      </c>
      <c r="G11" s="13">
        <f>COUNTIFS('Danh sách test'!$B$5:$B$127,$A11,'Danh sách test'!$P$5:$P$127,"Chưa test")</f>
        <v>7</v>
      </c>
      <c r="H11" s="13">
        <f>COUNTIFS('Danh sách test'!$B$5:$B$127,$A11,'Danh sách test'!$P$5:$P$127,"Chờ người / dữ liệu")</f>
        <v>0</v>
      </c>
      <c r="I11" s="26">
        <f t="shared" si="0"/>
        <v>0</v>
      </c>
      <c r="J11" s="25">
        <f>C11-SUMIFS('Danh sách test'!$I$5:$I$127,'Danh sách test'!$B$5:$B$127,$A11,'Danh sách test'!$P$5:$P$127,"Đạt")</f>
        <v>4</v>
      </c>
    </row>
    <row r="12" spans="1:10" x14ac:dyDescent="0.3">
      <c r="A12" s="14" t="s">
        <v>498</v>
      </c>
      <c r="B12" s="13">
        <f>COUNTIFS('Danh sách test'!$B$5:$B$127,$A12)</f>
        <v>25</v>
      </c>
      <c r="C12" s="25">
        <f>SUMIFS('Danh sách test'!$I$5:$I$127,'Danh sách test'!$B$5:$B$127,$A12)</f>
        <v>23</v>
      </c>
      <c r="D12" s="13">
        <f>COUNTIFS('Danh sách test'!$B$5:$B$127,$A12,'Danh sách test'!$P$5:$P$127,"Đạt")</f>
        <v>0</v>
      </c>
      <c r="E12" s="13">
        <f>COUNTIFS('Danh sách test'!$B$5:$B$127,$A12,'Danh sách test'!$P$5:$P$127,"Lỗi")+COUNTIFS('Danh sách test'!$B$5:$B$127,$A12,'Danh sách test'!$P$5:$P$127,"Đã sửa – chờ test lại")</f>
        <v>0</v>
      </c>
      <c r="F12" s="13">
        <f>COUNTIFS('Danh sách test'!$B$5:$B$127,$A12,'Danh sách test'!$P$5:$P$127,"Đang test")</f>
        <v>0</v>
      </c>
      <c r="G12" s="13">
        <f>COUNTIFS('Danh sách test'!$B$5:$B$127,$A12,'Danh sách test'!$P$5:$P$127,"Chưa test")</f>
        <v>21</v>
      </c>
      <c r="H12" s="13">
        <f>COUNTIFS('Danh sách test'!$B$5:$B$127,$A12,'Danh sách test'!$P$5:$P$127,"Chờ người / dữ liệu")</f>
        <v>4</v>
      </c>
      <c r="I12" s="26">
        <f t="shared" si="0"/>
        <v>0</v>
      </c>
      <c r="J12" s="25">
        <f>C12-SUMIFS('Danh sách test'!$I$5:$I$127,'Danh sách test'!$B$5:$B$127,$A12,'Danh sách test'!$P$5:$P$127,"Đạt")</f>
        <v>23</v>
      </c>
    </row>
    <row r="13" spans="1:10" x14ac:dyDescent="0.3">
      <c r="A13" s="14" t="s">
        <v>615</v>
      </c>
      <c r="B13" s="13">
        <f>COUNTIFS('Danh sách test'!$B$5:$B$127,$A13)</f>
        <v>8</v>
      </c>
      <c r="C13" s="25">
        <f>SUMIFS('Danh sách test'!$I$5:$I$127,'Danh sách test'!$B$5:$B$127,$A13)</f>
        <v>4.25</v>
      </c>
      <c r="D13" s="13">
        <f>COUNTIFS('Danh sách test'!$B$5:$B$127,$A13,'Danh sách test'!$P$5:$P$127,"Đạt")</f>
        <v>0</v>
      </c>
      <c r="E13" s="13">
        <f>COUNTIFS('Danh sách test'!$B$5:$B$127,$A13,'Danh sách test'!$P$5:$P$127,"Lỗi")+COUNTIFS('Danh sách test'!$B$5:$B$127,$A13,'Danh sách test'!$P$5:$P$127,"Đã sửa – chờ test lại")</f>
        <v>0</v>
      </c>
      <c r="F13" s="13">
        <f>COUNTIFS('Danh sách test'!$B$5:$B$127,$A13,'Danh sách test'!$P$5:$P$127,"Đang test")</f>
        <v>0</v>
      </c>
      <c r="G13" s="13">
        <f>COUNTIFS('Danh sách test'!$B$5:$B$127,$A13,'Danh sách test'!$P$5:$P$127,"Chưa test")</f>
        <v>7</v>
      </c>
      <c r="H13" s="13">
        <f>COUNTIFS('Danh sách test'!$B$5:$B$127,$A13,'Danh sách test'!$P$5:$P$127,"Chờ người / dữ liệu")</f>
        <v>1</v>
      </c>
      <c r="I13" s="26">
        <f t="shared" si="0"/>
        <v>0</v>
      </c>
      <c r="J13" s="25">
        <f>C13-SUMIFS('Danh sách test'!$I$5:$I$127,'Danh sách test'!$B$5:$B$127,$A13,'Danh sách test'!$P$5:$P$127,"Đạt")</f>
        <v>4.25</v>
      </c>
    </row>
    <row r="14" spans="1:10" x14ac:dyDescent="0.3">
      <c r="A14" s="14" t="s">
        <v>659</v>
      </c>
      <c r="B14" s="13">
        <f>COUNTIFS('Danh sách test'!$B$5:$B$127,$A14)</f>
        <v>6</v>
      </c>
      <c r="C14" s="25">
        <f>SUMIFS('Danh sách test'!$I$5:$I$127,'Danh sách test'!$B$5:$B$127,$A14)</f>
        <v>19.5</v>
      </c>
      <c r="D14" s="13">
        <f>COUNTIFS('Danh sách test'!$B$5:$B$127,$A14,'Danh sách test'!$P$5:$P$127,"Đạt")</f>
        <v>0</v>
      </c>
      <c r="E14" s="13">
        <f>COUNTIFS('Danh sách test'!$B$5:$B$127,$A14,'Danh sách test'!$P$5:$P$127,"Lỗi")+COUNTIFS('Danh sách test'!$B$5:$B$127,$A14,'Danh sách test'!$P$5:$P$127,"Đã sửa – chờ test lại")</f>
        <v>0</v>
      </c>
      <c r="F14" s="13">
        <f>COUNTIFS('Danh sách test'!$B$5:$B$127,$A14,'Danh sách test'!$P$5:$P$127,"Đang test")</f>
        <v>0</v>
      </c>
      <c r="G14" s="13">
        <f>COUNTIFS('Danh sách test'!$B$5:$B$127,$A14,'Danh sách test'!$P$5:$P$127,"Chưa test")</f>
        <v>0</v>
      </c>
      <c r="H14" s="13">
        <f>COUNTIFS('Danh sách test'!$B$5:$B$127,$A14,'Danh sách test'!$P$5:$P$127,"Chờ người / dữ liệu")</f>
        <v>6</v>
      </c>
      <c r="I14" s="26">
        <f t="shared" si="0"/>
        <v>0</v>
      </c>
      <c r="J14" s="25">
        <f>C14-SUMIFS('Danh sách test'!$I$5:$I$127,'Danh sách test'!$B$5:$B$127,$A14,'Danh sách test'!$P$5:$P$127,"Đạt")</f>
        <v>19.5</v>
      </c>
    </row>
    <row r="15" spans="1:10" x14ac:dyDescent="0.3">
      <c r="A15" s="27" t="s">
        <v>749</v>
      </c>
      <c r="B15" s="28">
        <f t="shared" ref="B15:H15" si="1">SUM(B5:B14)</f>
        <v>123</v>
      </c>
      <c r="C15" s="29">
        <f t="shared" si="1"/>
        <v>103.25</v>
      </c>
      <c r="D15" s="28">
        <f t="shared" si="1"/>
        <v>0</v>
      </c>
      <c r="E15" s="28">
        <f t="shared" si="1"/>
        <v>0</v>
      </c>
      <c r="F15" s="28">
        <f t="shared" si="1"/>
        <v>0</v>
      </c>
      <c r="G15" s="28">
        <f t="shared" si="1"/>
        <v>111</v>
      </c>
      <c r="H15" s="28">
        <f t="shared" si="1"/>
        <v>12</v>
      </c>
      <c r="I15" s="30">
        <f t="shared" si="0"/>
        <v>0</v>
      </c>
      <c r="J15" s="29">
        <f>SUM(J5:J14)</f>
        <v>103.25</v>
      </c>
    </row>
    <row r="17" spans="1:6" x14ac:dyDescent="0.3">
      <c r="A17" s="9" t="s">
        <v>750</v>
      </c>
    </row>
    <row r="18" spans="1:6" x14ac:dyDescent="0.3">
      <c r="A18" s="4" t="s">
        <v>751</v>
      </c>
      <c r="C18" s="33" t="str">
        <f>'25 tình huống'!C39</f>
        <v>0 / 25</v>
      </c>
      <c r="D18" s="32"/>
      <c r="E18" s="32"/>
      <c r="F18" s="32"/>
    </row>
    <row r="19" spans="1:6" x14ac:dyDescent="0.3">
      <c r="A19" s="4" t="s">
        <v>752</v>
      </c>
      <c r="C19" s="33" t="str">
        <f>D15&amp;" / "&amp;B15&amp;" mục ("&amp;TEXT(I15,"0%")&amp;")"</f>
        <v>0 / 123 mục (0%)</v>
      </c>
      <c r="D19" s="32"/>
      <c r="E19" s="32"/>
      <c r="F19" s="32"/>
    </row>
    <row r="20" spans="1:6" x14ac:dyDescent="0.3">
      <c r="A20" s="4" t="s">
        <v>753</v>
      </c>
      <c r="C20" s="38">
        <f>E15</f>
        <v>0</v>
      </c>
      <c r="D20" s="32"/>
      <c r="E20" s="32"/>
      <c r="F20" s="32"/>
    </row>
    <row r="21" spans="1:6" x14ac:dyDescent="0.3">
      <c r="A21" s="4" t="s">
        <v>754</v>
      </c>
      <c r="C21" s="38">
        <f>H15</f>
        <v>12</v>
      </c>
      <c r="D21" s="32"/>
      <c r="E21" s="32"/>
      <c r="F21" s="32"/>
    </row>
    <row r="23" spans="1:6" x14ac:dyDescent="0.3">
      <c r="A23" s="9" t="s">
        <v>755</v>
      </c>
    </row>
    <row r="24" spans="1:6" x14ac:dyDescent="0.3">
      <c r="A24" s="10" t="s">
        <v>756</v>
      </c>
      <c r="C24" s="35">
        <f>SUMIFS('Danh sách test'!$I$5:$I$127,'Danh sách test'!$K$5:$K$127,"Không")</f>
        <v>79.75</v>
      </c>
      <c r="D24" s="32"/>
    </row>
    <row r="25" spans="1:6" x14ac:dyDescent="0.3">
      <c r="A25" s="10" t="s">
        <v>757</v>
      </c>
      <c r="C25" s="35">
        <f>C24*'Hướng dẫn'!$C$8</f>
        <v>23.925000000000001</v>
      </c>
      <c r="D25" s="32"/>
    </row>
    <row r="26" spans="1:6" ht="26.4" x14ac:dyDescent="0.3">
      <c r="A26" s="10" t="s">
        <v>758</v>
      </c>
      <c r="C26" s="35">
        <f>SUMIFS('Danh sách test'!$I$5:$I$127,'Danh sách test'!$K$5:$K$127,"Có")</f>
        <v>23.5</v>
      </c>
      <c r="D26" s="32"/>
    </row>
    <row r="27" spans="1:6" ht="26.4" x14ac:dyDescent="0.3">
      <c r="A27" s="10" t="s">
        <v>759</v>
      </c>
      <c r="C27" s="34">
        <f>ROUNDUP((C24+C25)/'Hướng dẫn'!$C$7,0)</f>
        <v>18</v>
      </c>
      <c r="D27" s="32"/>
    </row>
    <row r="28" spans="1:6" x14ac:dyDescent="0.3">
      <c r="A28" s="10" t="s">
        <v>760</v>
      </c>
      <c r="C28" s="39">
        <f>WORKDAY('Hướng dẫn'!$C$6,C27-1)</f>
        <v>46345</v>
      </c>
      <c r="D28" s="32"/>
    </row>
    <row r="29" spans="1:6" ht="26.4" x14ac:dyDescent="0.3">
      <c r="A29" s="10" t="s">
        <v>761</v>
      </c>
      <c r="C29" s="34">
        <f>ROUNDUP(C26*(1+'Hướng dẫn'!$C$8)/'Hướng dẫn'!$C$7,0)</f>
        <v>6</v>
      </c>
      <c r="D29" s="32"/>
    </row>
    <row r="30" spans="1:6" ht="26.4" x14ac:dyDescent="0.3">
      <c r="A30" s="10" t="s">
        <v>762</v>
      </c>
      <c r="C30" s="34">
        <f>C27+C29</f>
        <v>24</v>
      </c>
      <c r="D30" s="32"/>
    </row>
    <row r="31" spans="1:6" x14ac:dyDescent="0.3">
      <c r="A31" s="10" t="s">
        <v>763</v>
      </c>
      <c r="C31" s="36">
        <f>ROUNDUP(C30/5,1)</f>
        <v>4.8</v>
      </c>
      <c r="D31" s="32"/>
    </row>
    <row r="33" spans="1:10" x14ac:dyDescent="0.3">
      <c r="A33" s="37" t="s">
        <v>764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3">
      <c r="A34" s="37" t="s">
        <v>765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3">
      <c r="A35" s="37" t="s">
        <v>766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3">
      <c r="A36" s="37" t="s">
        <v>767</v>
      </c>
      <c r="B36" s="32"/>
      <c r="C36" s="32"/>
      <c r="D36" s="32"/>
      <c r="E36" s="32"/>
      <c r="F36" s="32"/>
      <c r="G36" s="32"/>
      <c r="H36" s="32"/>
      <c r="I36" s="32"/>
      <c r="J36" s="32"/>
    </row>
  </sheetData>
  <mergeCells count="16">
    <mergeCell ref="A36:J36"/>
    <mergeCell ref="C25:D25"/>
    <mergeCell ref="C20:F20"/>
    <mergeCell ref="C27:D27"/>
    <mergeCell ref="C21:F21"/>
    <mergeCell ref="C28:D28"/>
    <mergeCell ref="A34:J34"/>
    <mergeCell ref="A35:J35"/>
    <mergeCell ref="C26:D26"/>
    <mergeCell ref="A33:J33"/>
    <mergeCell ref="C18:F18"/>
    <mergeCell ref="C29:D29"/>
    <mergeCell ref="C24:D24"/>
    <mergeCell ref="C30:D30"/>
    <mergeCell ref="C31:D31"/>
    <mergeCell ref="C19:F19"/>
  </mergeCells>
  <conditionalFormatting sqref="I5:I15">
    <cfRule type="cellIs" dxfId="0" priority="1" operator="equal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F24"/>
  <sheetViews>
    <sheetView workbookViewId="0"/>
  </sheetViews>
  <sheetFormatPr defaultRowHeight="14.4" x14ac:dyDescent="0.3"/>
  <cols>
    <col min="1" max="1" width="9" customWidth="1"/>
    <col min="2" max="2" width="28" customWidth="1"/>
    <col min="3" max="3" width="32" customWidth="1"/>
    <col min="4" max="4" width="44" customWidth="1"/>
    <col min="5" max="5" width="11" customWidth="1"/>
    <col min="6" max="6" width="18" customWidth="1"/>
  </cols>
  <sheetData>
    <row r="1" spans="1:6" ht="16.8" x14ac:dyDescent="0.3">
      <c r="A1" s="11" t="s">
        <v>768</v>
      </c>
    </row>
    <row r="2" spans="1:6" x14ac:dyDescent="0.3">
      <c r="A2" s="6" t="s">
        <v>769</v>
      </c>
    </row>
    <row r="4" spans="1:6" ht="26.4" x14ac:dyDescent="0.3">
      <c r="A4" s="12" t="s">
        <v>30</v>
      </c>
      <c r="B4" s="12" t="s">
        <v>31</v>
      </c>
      <c r="C4" s="12" t="s">
        <v>33</v>
      </c>
      <c r="D4" s="12" t="s">
        <v>770</v>
      </c>
      <c r="E4" s="12" t="s">
        <v>37</v>
      </c>
      <c r="F4" s="12" t="s">
        <v>44</v>
      </c>
    </row>
    <row r="5" spans="1:6" x14ac:dyDescent="0.3">
      <c r="A5" s="14" t="str">
        <f>IFERROR(INDEX('Danh sách test'!$A$5:$A$127,MATCH(1,'Danh sách test'!$S$5:$S$127,0)),"")</f>
        <v>CT-23</v>
      </c>
      <c r="B5" s="14" t="str">
        <f>IFERROR(INDEX('Danh sách test'!$B$5:$B$127,MATCH(1,'Danh sách test'!$S$5:$S$127,0)),"")</f>
        <v>Chứng từ mua hàng (MH03)</v>
      </c>
      <c r="C5" s="14" t="str">
        <f>IFERROR(INDEX('Danh sách test'!$D$5:$D$127,MATCH(1,'Danh sách test'!$S$5:$S$127,0)),"")</f>
        <v>Nhập / xuất dòng hàng Excel</v>
      </c>
      <c r="D5" s="14" t="str">
        <f>IFERROR(INDEX('Danh sách test'!$J$5:$J$127,MATCH(1,'Danh sách test'!$S$5:$S$127,0)),"")</f>
        <v>Chờ file Excel thật "VD1. Vinh Châu.xlsx"</v>
      </c>
      <c r="E5" s="14">
        <f>IFERROR(INDEX('Danh sách test'!$I$5:$I$127,MATCH(1,'Danh sách test'!$S$5:$S$127,0)),"")</f>
        <v>1</v>
      </c>
      <c r="F5" s="14" t="str">
        <f>IFERROR(INDEX('Danh sách test'!$P$5:$P$127,MATCH(1,'Danh sách test'!$S$5:$S$127,0)),"")</f>
        <v>Chờ người / dữ liệu</v>
      </c>
    </row>
    <row r="6" spans="1:6" x14ac:dyDescent="0.3">
      <c r="A6" s="14" t="str">
        <f>IFERROR(INDEX('Danh sách test'!$A$5:$A$127,MATCH(2,'Danh sách test'!$S$5:$S$127,0)),"")</f>
        <v>KB-06</v>
      </c>
      <c r="B6" s="14" t="str">
        <f>IFERROR(INDEX('Danh sách test'!$B$5:$B$127,MATCH(2,'Danh sách test'!$S$5:$S$127,0)),"")</f>
        <v>25 tình huống (chạy trọn)</v>
      </c>
      <c r="C6" s="14" t="str">
        <f>IFERROR(INDEX('Danh sách test'!$D$5:$D$127,MATCH(2,'Danh sách test'!$S$5:$S$127,0)),"")</f>
        <v>TH6 — Bán hàng có CK từng dòng (phía bán)</v>
      </c>
      <c r="D6" s="14" t="str">
        <f>IFERROR(INDEX('Danh sách test'!$J$5:$J$127,MATCH(2,'Danh sách test'!$S$5:$S$127,0)),"")</f>
        <v>Phân hệ Bán hàng chưa làm — hiện chỉ kiểm công thức</v>
      </c>
      <c r="E6" s="14">
        <f>IFERROR(INDEX('Danh sách test'!$I$5:$I$127,MATCH(2,'Danh sách test'!$S$5:$S$127,0)),"")</f>
        <v>0.5</v>
      </c>
      <c r="F6" s="14" t="str">
        <f>IFERROR(INDEX('Danh sách test'!$P$5:$P$127,MATCH(2,'Danh sách test'!$S$5:$S$127,0)),"")</f>
        <v>Chờ người / dữ liệu</v>
      </c>
    </row>
    <row r="7" spans="1:6" x14ac:dyDescent="0.3">
      <c r="A7" s="14" t="str">
        <f>IFERROR(INDEX('Danh sách test'!$A$5:$A$127,MATCH(3,'Danh sách test'!$S$5:$S$127,0)),"")</f>
        <v>KB-07</v>
      </c>
      <c r="B7" s="14" t="str">
        <f>IFERROR(INDEX('Danh sách test'!$B$5:$B$127,MATCH(3,'Danh sách test'!$S$5:$S$127,0)),"")</f>
        <v>25 tình huống (chạy trọn)</v>
      </c>
      <c r="C7" s="14" t="str">
        <f>IFERROR(INDEX('Danh sách test'!$D$5:$D$127,MATCH(3,'Danh sách test'!$S$5:$S$127,0)),"")</f>
        <v>TH7 — Bậc CK số lượng (phía bán)</v>
      </c>
      <c r="D7" s="14" t="str">
        <f>IFERROR(INDEX('Danh sách test'!$J$5:$J$127,MATCH(3,'Danh sách test'!$S$5:$S$127,0)),"")</f>
        <v>Phân hệ Bán hàng chưa làm — hiện chỉ kiểm công thức</v>
      </c>
      <c r="E7" s="14">
        <f>IFERROR(INDEX('Danh sách test'!$I$5:$I$127,MATCH(3,'Danh sách test'!$S$5:$S$127,0)),"")</f>
        <v>0.5</v>
      </c>
      <c r="F7" s="14" t="str">
        <f>IFERROR(INDEX('Danh sách test'!$P$5:$P$127,MATCH(3,'Danh sách test'!$S$5:$S$127,0)),"")</f>
        <v>Chờ người / dữ liệu</v>
      </c>
    </row>
    <row r="8" spans="1:6" x14ac:dyDescent="0.3">
      <c r="A8" s="14" t="str">
        <f>IFERROR(INDEX('Danh sách test'!$A$5:$A$127,MATCH(4,'Danh sách test'!$S$5:$S$127,0)),"")</f>
        <v>KB-09</v>
      </c>
      <c r="B8" s="14" t="str">
        <f>IFERROR(INDEX('Danh sách test'!$B$5:$B$127,MATCH(4,'Danh sách test'!$S$5:$S$127,0)),"")</f>
        <v>25 tình huống (chạy trọn)</v>
      </c>
      <c r="C8" s="14" t="str">
        <f>IFERROR(INDEX('Danh sách test'!$D$5:$D$127,MATCH(4,'Danh sách test'!$S$5:$S$127,0)),"")</f>
        <v>TH9 — CK + tặng hàng (phía bán)</v>
      </c>
      <c r="D8" s="14" t="str">
        <f>IFERROR(INDEX('Danh sách test'!$J$5:$J$127,MATCH(4,'Danh sách test'!$S$5:$S$127,0)),"")</f>
        <v>Phân hệ Bán hàng chưa làm — hiện chỉ kiểm công thức</v>
      </c>
      <c r="E8" s="14">
        <f>IFERROR(INDEX('Danh sách test'!$I$5:$I$127,MATCH(4,'Danh sách test'!$S$5:$S$127,0)),"")</f>
        <v>0.5</v>
      </c>
      <c r="F8" s="14" t="str">
        <f>IFERROR(INDEX('Danh sách test'!$P$5:$P$127,MATCH(4,'Danh sách test'!$S$5:$S$127,0)),"")</f>
        <v>Chờ người / dữ liệu</v>
      </c>
    </row>
    <row r="9" spans="1:6" x14ac:dyDescent="0.3">
      <c r="A9" s="14" t="str">
        <f>IFERROR(INDEX('Danh sách test'!$A$5:$A$127,MATCH(5,'Danh sách test'!$S$5:$S$127,0)),"")</f>
        <v>KB-10</v>
      </c>
      <c r="B9" s="14" t="str">
        <f>IFERROR(INDEX('Danh sách test'!$B$5:$B$127,MATCH(5,'Danh sách test'!$S$5:$S$127,0)),"")</f>
        <v>25 tình huống (chạy trọn)</v>
      </c>
      <c r="C9" s="14" t="str">
        <f>IFERROR(INDEX('Danh sách test'!$D$5:$D$127,MATCH(5,'Danh sách test'!$S$5:$S$127,0)),"")</f>
        <v>TH10 — Đặt hàng có CK (phía bán)</v>
      </c>
      <c r="D9" s="14" t="str">
        <f>IFERROR(INDEX('Danh sách test'!$J$5:$J$127,MATCH(5,'Danh sách test'!$S$5:$S$127,0)),"")</f>
        <v>Phân hệ Bán hàng chưa làm — hiện chỉ kiểm công thức</v>
      </c>
      <c r="E9" s="14">
        <f>IFERROR(INDEX('Danh sách test'!$I$5:$I$127,MATCH(5,'Danh sách test'!$S$5:$S$127,0)),"")</f>
        <v>0.5</v>
      </c>
      <c r="F9" s="14" t="str">
        <f>IFERROR(INDEX('Danh sách test'!$P$5:$P$127,MATCH(5,'Danh sách test'!$S$5:$S$127,0)),"")</f>
        <v>Chờ người / dữ liệu</v>
      </c>
    </row>
    <row r="10" spans="1:6" x14ac:dyDescent="0.3">
      <c r="A10" s="14" t="str">
        <f>IFERROR(INDEX('Danh sách test'!$A$5:$A$127,MATCH(6,'Danh sách test'!$S$5:$S$127,0)),"")</f>
        <v>VD-01</v>
      </c>
      <c r="B10" s="14" t="str">
        <f>IFERROR(INDEX('Danh sách test'!$B$5:$B$127,MATCH(6,'Danh sách test'!$S$5:$S$127,0)),"")</f>
        <v>Ví dụ bổ sung VD1–VD8</v>
      </c>
      <c r="C10" s="14" t="str">
        <f>IFERROR(INDEX('Danh sách test'!$D$5:$D$127,MATCH(6,'Danh sách test'!$S$5:$S$127,0)),"")</f>
        <v>VD1 — Nhập file Excel của NCC</v>
      </c>
      <c r="D10" s="14" t="str">
        <f>IFERROR(INDEX('Danh sách test'!$J$5:$J$127,MATCH(6,'Danh sách test'!$S$5:$S$127,0)),"")</f>
        <v>Chờ file Excel thật</v>
      </c>
      <c r="E10" s="14">
        <f>IFERROR(INDEX('Danh sách test'!$I$5:$I$127,MATCH(6,'Danh sách test'!$S$5:$S$127,0)),"")</f>
        <v>1</v>
      </c>
      <c r="F10" s="14" t="str">
        <f>IFERROR(INDEX('Danh sách test'!$P$5:$P$127,MATCH(6,'Danh sách test'!$S$5:$S$127,0)),"")</f>
        <v>Chờ người / dữ liệu</v>
      </c>
    </row>
    <row r="11" spans="1:6" x14ac:dyDescent="0.3">
      <c r="A11" s="14" t="str">
        <f>IFERROR(INDEX('Danh sách test'!$A$5:$A$127,MATCH(7,'Danh sách test'!$S$5:$S$127,0)),"")</f>
        <v>KT-01</v>
      </c>
      <c r="B11" s="14" t="str">
        <f>IFERROR(INDEX('Danh sách test'!$B$5:$B$127,MATCH(7,'Danh sách test'!$S$5:$S$127,0)),"")</f>
        <v>Đối chiếu kế toán (chờ kế toán mới)</v>
      </c>
      <c r="C11" s="14" t="str">
        <f>IFERROR(INDEX('Danh sách test'!$D$5:$D$127,MATCH(7,'Danh sách test'!$S$5:$S$127,0)),"")</f>
        <v>Chốt định khoản mặc định</v>
      </c>
      <c r="D11" s="14" t="str">
        <f>IFERROR(INDEX('Danh sách test'!$J$5:$J$127,MATCH(7,'Danh sách test'!$S$5:$S$127,0)),"")</f>
        <v>Chờ kế toán mới (cầu nối với phòng kế toán tổng)</v>
      </c>
      <c r="E11" s="14">
        <f>IFERROR(INDEX('Danh sách test'!$I$5:$I$127,MATCH(7,'Danh sách test'!$S$5:$S$127,0)),"")</f>
        <v>2</v>
      </c>
      <c r="F11" s="14" t="str">
        <f>IFERROR(INDEX('Danh sách test'!$P$5:$P$127,MATCH(7,'Danh sách test'!$S$5:$S$127,0)),"")</f>
        <v>Chờ người / dữ liệu</v>
      </c>
    </row>
    <row r="12" spans="1:6" x14ac:dyDescent="0.3">
      <c r="A12" s="14" t="str">
        <f>IFERROR(INDEX('Danh sách test'!$A$5:$A$127,MATCH(8,'Danh sách test'!$S$5:$S$127,0)),"")</f>
        <v>KT-02</v>
      </c>
      <c r="B12" s="14" t="str">
        <f>IFERROR(INDEX('Danh sách test'!$B$5:$B$127,MATCH(8,'Danh sách test'!$S$5:$S$127,0)),"")</f>
        <v>Đối chiếu kế toán (chờ kế toán mới)</v>
      </c>
      <c r="C12" s="14" t="str">
        <f>IFERROR(INDEX('Danh sách test'!$D$5:$D$127,MATCH(8,'Danh sách test'!$S$5:$S$127,0)),"")</f>
        <v>Chốt cách ghi quà không hoá đơn</v>
      </c>
      <c r="D12" s="14" t="str">
        <f>IFERROR(INDEX('Danh sách test'!$J$5:$J$127,MATCH(8,'Danh sách test'!$S$5:$S$127,0)),"")</f>
        <v>Chờ kế toán mới</v>
      </c>
      <c r="E12" s="14">
        <f>IFERROR(INDEX('Danh sách test'!$I$5:$I$127,MATCH(8,'Danh sách test'!$S$5:$S$127,0)),"")</f>
        <v>1</v>
      </c>
      <c r="F12" s="14" t="str">
        <f>IFERROR(INDEX('Danh sách test'!$P$5:$P$127,MATCH(8,'Danh sách test'!$S$5:$S$127,0)),"")</f>
        <v>Chờ người / dữ liệu</v>
      </c>
    </row>
    <row r="13" spans="1:6" x14ac:dyDescent="0.3">
      <c r="A13" s="14" t="str">
        <f>IFERROR(INDEX('Danh sách test'!$A$5:$A$127,MATCH(9,'Danh sách test'!$S$5:$S$127,0)),"")</f>
        <v>KT-03</v>
      </c>
      <c r="B13" s="14" t="str">
        <f>IFERROR(INDEX('Danh sách test'!$B$5:$B$127,MATCH(9,'Danh sách test'!$S$5:$S$127,0)),"")</f>
        <v>Đối chiếu kế toán (chờ kế toán mới)</v>
      </c>
      <c r="C13" s="14" t="str">
        <f>IFERROR(INDEX('Danh sách test'!$D$5:$D$127,MATCH(9,'Danh sách test'!$S$5:$S$127,0)),"")</f>
        <v>Chốt mẫu sổ / báo cáo thuế</v>
      </c>
      <c r="D13" s="14" t="str">
        <f>IFERROR(INDEX('Danh sách test'!$J$5:$J$127,MATCH(9,'Danh sách test'!$S$5:$S$127,0)),"")</f>
        <v>Chờ kế toán mới</v>
      </c>
      <c r="E13" s="14">
        <f>IFERROR(INDEX('Danh sách test'!$I$5:$I$127,MATCH(9,'Danh sách test'!$S$5:$S$127,0)),"")</f>
        <v>1.5</v>
      </c>
      <c r="F13" s="14" t="str">
        <f>IFERROR(INDEX('Danh sách test'!$P$5:$P$127,MATCH(9,'Danh sách test'!$S$5:$S$127,0)),"")</f>
        <v>Chờ người / dữ liệu</v>
      </c>
    </row>
    <row r="14" spans="1:6" x14ac:dyDescent="0.3">
      <c r="A14" s="14" t="str">
        <f>IFERROR(INDEX('Danh sách test'!$A$5:$A$127,MATCH(10,'Danh sách test'!$S$5:$S$127,0)),"")</f>
        <v>KT-04</v>
      </c>
      <c r="B14" s="14" t="str">
        <f>IFERROR(INDEX('Danh sách test'!$B$5:$B$127,MATCH(10,'Danh sách test'!$S$5:$S$127,0)),"")</f>
        <v>Đối chiếu kế toán (chờ kế toán mới)</v>
      </c>
      <c r="C14" s="14" t="str">
        <f>IFERROR(INDEX('Danh sách test'!$D$5:$D$127,MATCH(10,'Danh sách test'!$S$5:$S$127,0)),"")</f>
        <v>Đối chiếu số dư NCC thật</v>
      </c>
      <c r="D14" s="14" t="str">
        <f>IFERROR(INDEX('Danh sách test'!$J$5:$J$127,MATCH(10,'Danh sách test'!$S$5:$S$127,0)),"")</f>
        <v>Chờ kế toán mới + dữ liệu thật</v>
      </c>
      <c r="E14" s="14">
        <f>IFERROR(INDEX('Danh sách test'!$I$5:$I$127,MATCH(10,'Danh sách test'!$S$5:$S$127,0)),"")</f>
        <v>3</v>
      </c>
      <c r="F14" s="14" t="str">
        <f>IFERROR(INDEX('Danh sách test'!$P$5:$P$127,MATCH(10,'Danh sách test'!$S$5:$S$127,0)),"")</f>
        <v>Chờ người / dữ liệu</v>
      </c>
    </row>
    <row r="15" spans="1:6" x14ac:dyDescent="0.3">
      <c r="A15" s="14" t="str">
        <f>IFERROR(INDEX('Danh sách test'!$A$5:$A$127,MATCH(11,'Danh sách test'!$S$5:$S$127,0)),"")</f>
        <v>KT-05</v>
      </c>
      <c r="B15" s="14" t="str">
        <f>IFERROR(INDEX('Danh sách test'!$B$5:$B$127,MATCH(11,'Danh sách test'!$S$5:$S$127,0)),"")</f>
        <v>Đối chiếu kế toán (chờ kế toán mới)</v>
      </c>
      <c r="C15" s="14" t="str">
        <f>IFERROR(INDEX('Danh sách test'!$D$5:$D$127,MATCH(11,'Danh sách test'!$S$5:$S$127,0)),"")</f>
        <v>Kế toán tự dùng thử luồng thật</v>
      </c>
      <c r="D15" s="14" t="str">
        <f>IFERROR(INDEX('Danh sách test'!$J$5:$J$127,MATCH(11,'Danh sách test'!$S$5:$S$127,0)),"")</f>
        <v>Chờ kế toán mới</v>
      </c>
      <c r="E15" s="14">
        <f>IFERROR(INDEX('Danh sách test'!$I$5:$I$127,MATCH(11,'Danh sách test'!$S$5:$S$127,0)),"")</f>
        <v>4</v>
      </c>
      <c r="F15" s="14" t="str">
        <f>IFERROR(INDEX('Danh sách test'!$P$5:$P$127,MATCH(11,'Danh sách test'!$S$5:$S$127,0)),"")</f>
        <v>Chờ người / dữ liệu</v>
      </c>
    </row>
    <row r="16" spans="1:6" x14ac:dyDescent="0.3">
      <c r="A16" s="14" t="str">
        <f>IFERROR(INDEX('Danh sách test'!$A$5:$A$127,MATCH(12,'Danh sách test'!$S$5:$S$127,0)),"")</f>
        <v>KT-06</v>
      </c>
      <c r="B16" s="14" t="str">
        <f>IFERROR(INDEX('Danh sách test'!$B$5:$B$127,MATCH(12,'Danh sách test'!$S$5:$S$127,0)),"")</f>
        <v>Đối chiếu kế toán (chờ kế toán mới)</v>
      </c>
      <c r="C16" s="14" t="str">
        <f>IFERROR(INDEX('Danh sách test'!$D$5:$D$127,MATCH(12,'Danh sách test'!$S$5:$S$127,0)),"")</f>
        <v>Chạy song song chi nhánh đợt 1</v>
      </c>
      <c r="D16" s="14" t="str">
        <f>IFERROR(INDEX('Danh sách test'!$J$5:$J$127,MATCH(12,'Danh sách test'!$S$5:$S$127,0)),"")</f>
        <v>Chờ kế toán mới + lịch triển khai chi nhánh</v>
      </c>
      <c r="E16" s="14">
        <f>IFERROR(INDEX('Danh sách test'!$I$5:$I$127,MATCH(12,'Danh sách test'!$S$5:$S$127,0)),"")</f>
        <v>8</v>
      </c>
      <c r="F16" s="14" t="str">
        <f>IFERROR(INDEX('Danh sách test'!$P$5:$P$127,MATCH(12,'Danh sách test'!$S$5:$S$127,0)),"")</f>
        <v>Chờ người / dữ liệu</v>
      </c>
    </row>
    <row r="17" spans="1:6" x14ac:dyDescent="0.3">
      <c r="A17" s="14" t="str">
        <f>IFERROR(INDEX('Danh sách test'!$A$5:$A$127,MATCH(13,'Danh sách test'!$S$5:$S$127,0)),"")</f>
        <v/>
      </c>
      <c r="B17" s="14" t="str">
        <f>IFERROR(INDEX('Danh sách test'!$B$5:$B$127,MATCH(13,'Danh sách test'!$S$5:$S$127,0)),"")</f>
        <v/>
      </c>
      <c r="C17" s="14" t="str">
        <f>IFERROR(INDEX('Danh sách test'!$D$5:$D$127,MATCH(13,'Danh sách test'!$S$5:$S$127,0)),"")</f>
        <v/>
      </c>
      <c r="D17" s="14" t="str">
        <f>IFERROR(INDEX('Danh sách test'!$J$5:$J$127,MATCH(13,'Danh sách test'!$S$5:$S$127,0)),"")</f>
        <v/>
      </c>
      <c r="E17" s="14" t="str">
        <f>IFERROR(INDEX('Danh sách test'!$I$5:$I$127,MATCH(13,'Danh sách test'!$S$5:$S$127,0)),"")</f>
        <v/>
      </c>
      <c r="F17" s="14" t="str">
        <f>IFERROR(INDEX('Danh sách test'!$P$5:$P$127,MATCH(13,'Danh sách test'!$S$5:$S$127,0)),"")</f>
        <v/>
      </c>
    </row>
    <row r="18" spans="1:6" x14ac:dyDescent="0.3">
      <c r="A18" s="14" t="str">
        <f>IFERROR(INDEX('Danh sách test'!$A$5:$A$127,MATCH(14,'Danh sách test'!$S$5:$S$127,0)),"")</f>
        <v/>
      </c>
      <c r="B18" s="14" t="str">
        <f>IFERROR(INDEX('Danh sách test'!$B$5:$B$127,MATCH(14,'Danh sách test'!$S$5:$S$127,0)),"")</f>
        <v/>
      </c>
      <c r="C18" s="14" t="str">
        <f>IFERROR(INDEX('Danh sách test'!$D$5:$D$127,MATCH(14,'Danh sách test'!$S$5:$S$127,0)),"")</f>
        <v/>
      </c>
      <c r="D18" s="14" t="str">
        <f>IFERROR(INDEX('Danh sách test'!$J$5:$J$127,MATCH(14,'Danh sách test'!$S$5:$S$127,0)),"")</f>
        <v/>
      </c>
      <c r="E18" s="14" t="str">
        <f>IFERROR(INDEX('Danh sách test'!$I$5:$I$127,MATCH(14,'Danh sách test'!$S$5:$S$127,0)),"")</f>
        <v/>
      </c>
      <c r="F18" s="14" t="str">
        <f>IFERROR(INDEX('Danh sách test'!$P$5:$P$127,MATCH(14,'Danh sách test'!$S$5:$S$127,0)),"")</f>
        <v/>
      </c>
    </row>
    <row r="19" spans="1:6" x14ac:dyDescent="0.3">
      <c r="A19" s="14" t="str">
        <f>IFERROR(INDEX('Danh sách test'!$A$5:$A$127,MATCH(15,'Danh sách test'!$S$5:$S$127,0)),"")</f>
        <v/>
      </c>
      <c r="B19" s="14" t="str">
        <f>IFERROR(INDEX('Danh sách test'!$B$5:$B$127,MATCH(15,'Danh sách test'!$S$5:$S$127,0)),"")</f>
        <v/>
      </c>
      <c r="C19" s="14" t="str">
        <f>IFERROR(INDEX('Danh sách test'!$D$5:$D$127,MATCH(15,'Danh sách test'!$S$5:$S$127,0)),"")</f>
        <v/>
      </c>
      <c r="D19" s="14" t="str">
        <f>IFERROR(INDEX('Danh sách test'!$J$5:$J$127,MATCH(15,'Danh sách test'!$S$5:$S$127,0)),"")</f>
        <v/>
      </c>
      <c r="E19" s="14" t="str">
        <f>IFERROR(INDEX('Danh sách test'!$I$5:$I$127,MATCH(15,'Danh sách test'!$S$5:$S$127,0)),"")</f>
        <v/>
      </c>
      <c r="F19" s="14" t="str">
        <f>IFERROR(INDEX('Danh sách test'!$P$5:$P$127,MATCH(15,'Danh sách test'!$S$5:$S$127,0)),"")</f>
        <v/>
      </c>
    </row>
    <row r="20" spans="1:6" x14ac:dyDescent="0.3">
      <c r="A20" s="14" t="str">
        <f>IFERROR(INDEX('Danh sách test'!$A$5:$A$127,MATCH(16,'Danh sách test'!$S$5:$S$127,0)),"")</f>
        <v/>
      </c>
      <c r="B20" s="14" t="str">
        <f>IFERROR(INDEX('Danh sách test'!$B$5:$B$127,MATCH(16,'Danh sách test'!$S$5:$S$127,0)),"")</f>
        <v/>
      </c>
      <c r="C20" s="14" t="str">
        <f>IFERROR(INDEX('Danh sách test'!$D$5:$D$127,MATCH(16,'Danh sách test'!$S$5:$S$127,0)),"")</f>
        <v/>
      </c>
      <c r="D20" s="14" t="str">
        <f>IFERROR(INDEX('Danh sách test'!$J$5:$J$127,MATCH(16,'Danh sách test'!$S$5:$S$127,0)),"")</f>
        <v/>
      </c>
      <c r="E20" s="14" t="str">
        <f>IFERROR(INDEX('Danh sách test'!$I$5:$I$127,MATCH(16,'Danh sách test'!$S$5:$S$127,0)),"")</f>
        <v/>
      </c>
      <c r="F20" s="14" t="str">
        <f>IFERROR(INDEX('Danh sách test'!$P$5:$P$127,MATCH(16,'Danh sách test'!$S$5:$S$127,0)),"")</f>
        <v/>
      </c>
    </row>
    <row r="21" spans="1:6" x14ac:dyDescent="0.3">
      <c r="A21" s="14" t="str">
        <f>IFERROR(INDEX('Danh sách test'!$A$5:$A$127,MATCH(17,'Danh sách test'!$S$5:$S$127,0)),"")</f>
        <v/>
      </c>
      <c r="B21" s="14" t="str">
        <f>IFERROR(INDEX('Danh sách test'!$B$5:$B$127,MATCH(17,'Danh sách test'!$S$5:$S$127,0)),"")</f>
        <v/>
      </c>
      <c r="C21" s="14" t="str">
        <f>IFERROR(INDEX('Danh sách test'!$D$5:$D$127,MATCH(17,'Danh sách test'!$S$5:$S$127,0)),"")</f>
        <v/>
      </c>
      <c r="D21" s="14" t="str">
        <f>IFERROR(INDEX('Danh sách test'!$J$5:$J$127,MATCH(17,'Danh sách test'!$S$5:$S$127,0)),"")</f>
        <v/>
      </c>
      <c r="E21" s="14" t="str">
        <f>IFERROR(INDEX('Danh sách test'!$I$5:$I$127,MATCH(17,'Danh sách test'!$S$5:$S$127,0)),"")</f>
        <v/>
      </c>
      <c r="F21" s="14" t="str">
        <f>IFERROR(INDEX('Danh sách test'!$P$5:$P$127,MATCH(17,'Danh sách test'!$S$5:$S$127,0)),"")</f>
        <v/>
      </c>
    </row>
    <row r="24" spans="1:6" x14ac:dyDescent="0.3">
      <c r="A24" s="6" t="s">
        <v>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Hướng dẫn</vt:lpstr>
      <vt:lpstr>Danh sách test</vt:lpstr>
      <vt:lpstr>25 tình huống</vt:lpstr>
      <vt:lpstr>Tiến độ</vt:lpstr>
      <vt:lpstr>Chờ đợi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2026-10-26T11:34:22Z</dcterms:created>
  <dcterms:modified xsi:type="dcterms:W3CDTF">2026-10-26T11:34:29Z</dcterms:modified>
</cp:coreProperties>
</file>